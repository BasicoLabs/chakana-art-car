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f2644023d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b815af7c32bb4c56"/>
    <x:sheet xmlns:r="http://schemas.openxmlformats.org/officeDocument/2006/relationships" name="Resumen" sheetId="2" r:id="R6304e8d00f8240c2"/>
    <x:sheet xmlns:r="http://schemas.openxmlformats.org/officeDocument/2006/relationships" name="Gates" sheetId="3" r:id="R4e3bc3cf7feb4acc"/>
    <x:sheet xmlns:r="http://schemas.openxmlformats.org/officeDocument/2006/relationships" name="Especificación" sheetId="4" r:id="Ree9ac47efa6a4ba9"/>
    <x:sheet xmlns:r="http://schemas.openxmlformats.org/officeDocument/2006/relationships" name="Fuentes" sheetId="5" r:id="R0953453ad32940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7">
    <x:font>
      <x:sz val="11"/>
      <x:name val="Carlito"/>
    </x:font>
    <x:font>
      <x:b/>
      <x:sz val="18"/>
      <x:color rgb="FFFFFFFF"/>
      <x:name val="Arial"/>
    </x:font>
    <x:font>
      <x:i/>
      <x:sz val="10"/>
      <x:color rgb="FF62717C"/>
      <x:name val="Arial"/>
    </x:font>
    <x:font>
      <x:b/>
      <x:sz val="10"/>
      <x:color rgb="FFFFFFFF"/>
      <x:name val="Arial"/>
    </x:font>
    <x:font>
      <x:sz val="10"/>
      <x:color rgb="FF132433"/>
      <x:name val="Arial"/>
    </x:font>
    <x:font>
      <x:b/>
      <x:sz val="11"/>
      <x:color rgb="FF132433"/>
      <x:name val="Arial"/>
    </x:font>
    <x:font>
      <x:b/>
      <x:sz val="13"/>
      <x:color rgb="FF132433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71624"/>
      </x:patternFill>
    </x:fill>
    <x:fill>
      <x:patternFill patternType="solid">
        <x:fgColor rgb="FFFCFAF6"/>
      </x:patternFill>
    </x:fill>
    <x:fill>
      <x:patternFill patternType="solid">
        <x:fgColor rgb="FF174D64"/>
      </x:patternFill>
    </x:fill>
    <x:fill>
      <x:patternFill patternType="solid">
        <x:fgColor rgb="FFDDEBF7"/>
      </x:patternFill>
    </x:fill>
    <x:fill>
      <x:patternFill patternType="solid">
        <x:fgColor rgb="FFDCEBED"/>
      </x:patternFill>
    </x:fill>
    <x:fill>
      <x:patternFill patternType="solid">
        <x:fgColor rgb="FFDDEBDD"/>
      </x:patternFill>
    </x:fill>
  </x:fills>
  <x:borders count="4">
    <x:border/>
    <x:border>
      <x:bottom style="thin">
        <x:color rgb="FF071624"/>
      </x:bottom>
    </x:border>
    <x:border>
      <x:bottom style="hair">
        <x:color rgb="FFC9D1D4"/>
      </x:bottom>
    </x:border>
    <x:border>
      <x:bottom style="thin">
        <x:color rgb="FFC9D1D4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200" fontId="4" fillId="6" borderId="0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200" fontId="4" fillId="6" borderId="2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20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200" fontId="5" fillId="6" borderId="3" xfId="0" applyNumberFormat="1" applyFont="1" applyFill="1" applyBorder="1" applyAlignment="1">
      <x:alignment vertical="top" wrapText="1"/>
    </x:xf>
    <x:xf numFmtId="200" fontId="5" fillId="7" borderId="0" xfId="0" applyNumberFormat="1" applyFont="1" applyFill="1" applyBorder="1" applyAlignment="1">
      <x:alignment vertical="top" wrapText="1"/>
    </x:xf>
    <x:xf numFmtId="200" fontId="5" fillId="7" borderId="3" xfId="0" applyNumberFormat="1" applyFont="1" applyFill="1" applyBorder="1" applyAlignment="1">
      <x:alignment vertical="top" wrapText="1"/>
    </x:xf>
    <x:xf numFmtId="200" fontId="4" fillId="7" borderId="0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32433"/>
      </x:font>
      <x:fill>
        <x:patternFill patternType="solid">
          <x:bgColor rgb="FFF5D9D5"/>
        </x:patternFill>
      </x:fill>
    </x:dxf>
    <x:dxf>
      <x:font>
        <x:b/>
        <x:color rgb="FF132433"/>
      </x:font>
      <x:fill>
        <x:patternFill patternType="solid">
          <x:bgColor rgb="FFDDEBDD"/>
        </x:patternFill>
      </x:fill>
    </x:dxf>
    <x:dxf>
      <x:font>
        <x:b/>
        <x:color rgb="FF132433"/>
      </x:font>
      <x:fill>
        <x:patternFill patternType="solid">
          <x:bgColor rgb="FFF5D9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bde864b60f446f" /><Relationship Type="http://schemas.openxmlformats.org/officeDocument/2006/relationships/theme" Target="/xl/theme/theme1.xml" Id="R2f604c00160f43e1" /><Relationship Type="http://schemas.openxmlformats.org/officeDocument/2006/relationships/sharedStrings" Target="/xl/sharedStrings.xml" Id="R0d4521ae33724cdb" /><Relationship Type="http://schemas.openxmlformats.org/officeDocument/2006/relationships/worksheet" Target="/xl/worksheets/sheet1.xml" Id="Rb815af7c32bb4c56" /><Relationship Type="http://schemas.openxmlformats.org/officeDocument/2006/relationships/worksheet" Target="/xl/worksheets/sheet2.xml" Id="R6304e8d00f8240c2" /><Relationship Type="http://schemas.openxmlformats.org/officeDocument/2006/relationships/worksheet" Target="/xl/worksheets/sheet3.xml" Id="R4e3bc3cf7feb4acc" /><Relationship Type="http://schemas.openxmlformats.org/officeDocument/2006/relationships/worksheet" Target="/xl/worksheets/sheet4.xml" Id="Ree9ac47efa6a4ba9" /><Relationship Type="http://schemas.openxmlformats.org/officeDocument/2006/relationships/worksheet" Target="/xl/worksheets/sheet5.xml" Id="R0953453ad32940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1" hidden="0" customWidth="1"/>
    <x:col min="9" max="9" width="9" hidden="0" customWidth="1"/>
    <x:col min="10" max="10" width="45" hidden="0" customWidth="1"/>
  </x:cols>
  <x:sheetData>
    <x:row r="1" ht="36" customHeight="1">
      <x:c r="A1" s="3" t="str">
        <x:v>TATÚ SONORO MÍNIMO · PRESUPUESTO</x:v>
      </x:c>
    </x:row>
    <x:row r="2" ht="28" customHeight="1">
      <x:c r="A2" s="7" t="str">
        <x:v>Azul = cotización editable. Escenario base con donor local usado, PA alquilado y trabajo mayormente voluntario.</x:v>
      </x:c>
    </x:row>
    <x:row r="3" ht="30" customHeight="1">
      <x:c r="A3" s="12" t="str">
        <x:v>#</x:v>
      </x:c>
      <x:c r="B3" s="12" t="str">
        <x:v>Rubro</x:v>
      </x:c>
      <x:c r="C3" s="12" t="str">
        <x:v>Bajo USD</x:v>
      </x:c>
      <x:c r="D3" s="12" t="str">
        <x:v>Base USD</x:v>
      </x:c>
      <x:c r="E3" s="12" t="str">
        <x:v>Alto USD</x:v>
      </x:c>
      <x:c r="F3" s="12" t="str">
        <x:v>Cotizado USD</x:v>
      </x:c>
      <x:c r="G3" s="12" t="str">
        <x:v>Desvío vs base</x:v>
      </x:c>
      <x:c r="H3" s="12" t="str">
        <x:v>Crítico</x:v>
      </x:c>
      <x:c r="I3" s="12" t="str">
        <x:v>Gate</x:v>
      </x:c>
      <x:c r="J3" s="12" t="str">
        <x:v>Criterio</x:v>
      </x:c>
    </x:row>
    <x:row r="4">
      <x:c r="A4" s="17" t="n">
        <x:v>1</x:v>
      </x:c>
      <x:c r="B4" s="17" t="str">
        <x:v>Donor 48 V usado con batería/cargador</x:v>
      </x:c>
      <x:c r="C4" s="20" t="n">
        <x:v>2200</x:v>
      </x:c>
      <x:c r="D4" s="20" t="n">
        <x:v>3500</x:v>
      </x:c>
      <x:c r="E4" s="20" t="n">
        <x:v>5400</x:v>
      </x:c>
      <x:c r="F4" s="21"/>
      <x:c r="G4" s="20" t="n">
        <x:f>IF(F4="",0,F4-D4)</x:f>
        <x:v>0</x:v>
      </x:c>
      <x:c r="H4" s="17" t="str">
        <x:v>Sí</x:v>
      </x:c>
      <x:c r="I4" s="17" t="str">
        <x:v>G1</x:v>
      </x:c>
      <x:c r="J4" s="17" t="str">
        <x:v>No comprar si necesita banco completo</x:v>
      </x:c>
    </x:row>
    <x:row r="5">
      <x:c r="A5" s="17" t="n">
        <x:v>2</x:v>
      </x:c>
      <x:c r="B5" s="17" t="str">
        <x:v>Inspección, traslado y documentación</x:v>
      </x:c>
      <x:c r="C5" s="20" t="n">
        <x:v>250</x:v>
      </x:c>
      <x:c r="D5" s="20" t="n">
        <x:v>400</x:v>
      </x:c>
      <x:c r="E5" s="20" t="n">
        <x:v>700</x:v>
      </x:c>
      <x:c r="F5" s="21"/>
      <x:c r="G5" s="20" t="n">
        <x:f>IF(F5="",0,F5-D5)</x:f>
        <x:v>0</x:v>
      </x:c>
      <x:c r="H5" s="17" t="str">
        <x:v>Sí</x:v>
      </x:c>
      <x:c r="I5" s="17" t="str">
        <x:v>G1</x:v>
      </x:c>
      <x:c r="J5" s="17" t="str">
        <x:v>Prueba de 5 km y pesaje antes de señar</x:v>
      </x:c>
    </x:row>
    <x:row r="6">
      <x:c r="A6" s="17" t="n">
        <x:v>3</x:v>
      </x:c>
      <x:c r="B6" s="17" t="str">
        <x:v>Frenos, dirección, rodamientos y service</x:v>
      </x:c>
      <x:c r="C6" s="20" t="n">
        <x:v>500</x:v>
      </x:c>
      <x:c r="D6" s="20" t="n">
        <x:v>850</x:v>
      </x:c>
      <x:c r="E6" s="20" t="n">
        <x:v>1400</x:v>
      </x:c>
      <x:c r="F6" s="21"/>
      <x:c r="G6" s="20" t="n">
        <x:f>IF(F6="",0,F6-D6)</x:f>
        <x:v>0</x:v>
      </x:c>
      <x:c r="H6" s="17" t="str">
        <x:v>Sí</x:v>
      </x:c>
      <x:c r="I6" s="17" t="str">
        <x:v>G1</x:v>
      </x:c>
      <x:c r="J6" s="17" t="str">
        <x:v>Freno y parking no se recortan</x:v>
      </x:c>
    </x:row>
    <x:row r="7">
      <x:c r="A7" s="17" t="n">
        <x:v>4</x:v>
      </x:c>
      <x:c r="B7" s="17" t="str">
        <x:v>Batería: prueba/reparación</x:v>
      </x:c>
      <x:c r="C7" s="20" t="n">
        <x:v>200</x:v>
      </x:c>
      <x:c r="D7" s="20" t="n">
        <x:v>600</x:v>
      </x:c>
      <x:c r="E7" s="20" t="n">
        <x:v>3200</x:v>
      </x:c>
      <x:c r="F7" s="21"/>
      <x:c r="G7" s="20" t="n">
        <x:f>IF(F7="",0,F7-D7)</x:f>
        <x:v>0</x:v>
      </x:c>
      <x:c r="H7" s="17" t="str">
        <x:v>Sí</x:v>
      </x:c>
      <x:c r="I7" s="17" t="str">
        <x:v>G1</x:v>
      </x:c>
      <x:c r="J7" s="17" t="str">
        <x:v>Reemplazo total excluido del caso base</x:v>
      </x:c>
    </x:row>
    <x:row r="8">
      <x:c r="A8" s="17" t="n">
        <x:v>5</x:v>
      </x:c>
      <x:c r="B8" s="17" t="str">
        <x:v>Ruedas, llantas, cámaras y montaje</x:v>
      </x:c>
      <x:c r="C8" s="20" t="n">
        <x:v>950</x:v>
      </x:c>
      <x:c r="D8" s="20" t="n">
        <x:v>1450</x:v>
      </x:c>
      <x:c r="E8" s="20" t="n">
        <x:v>1900</x:v>
      </x:c>
      <x:c r="F8" s="21"/>
      <x:c r="G8" s="20" t="n">
        <x:f>IF(F8="",0,F8-D8)</x:f>
        <x:v>0</x:v>
      </x:c>
      <x:c r="H8" s="17" t="str">
        <x:v>Sí</x:v>
      </x:c>
      <x:c r="I8" s="17" t="str">
        <x:v>G2</x:v>
      </x:c>
      <x:c r="J8" s="17" t="str">
        <x:v>Carga certificada ≥1,25× carga medida/rueda</x:v>
      </x:c>
    </x:row>
    <x:row r="9">
      <x:c r="A9" s="17" t="n">
        <x:v>6</x:v>
      </x:c>
      <x:c r="B9" s="17" t="str">
        <x:v>Relación, despejes y Tow/neutro</x:v>
      </x:c>
      <x:c r="C9" s="20" t="n">
        <x:v>300</x:v>
      </x:c>
      <x:c r="D9" s="20" t="n">
        <x:v>650</x:v>
      </x:c>
      <x:c r="E9" s="20" t="n">
        <x:v>1200</x:v>
      </x:c>
      <x:c r="F9" s="21"/>
      <x:c r="G9" s="20" t="n">
        <x:f>IF(F9="",0,F9-D9)</x:f>
        <x:v>0</x:v>
      </x:c>
      <x:c r="H9" s="17" t="str">
        <x:v>Sí</x:v>
      </x:c>
      <x:c r="I9" s="17" t="str">
        <x:v>G2</x:v>
      </x:c>
      <x:c r="J9" s="17" t="str">
        <x:v>Empujable con llave fuera</x:v>
      </x:c>
    </x:row>
    <x:row r="10">
      <x:c r="A10" s="17" t="n">
        <x:v>7</x:v>
      </x:c>
      <x:c r="B10" s="17" t="str">
        <x:v>Tow points, gato, amarres y recuperación</x:v>
      </x:c>
      <x:c r="C10" s="20" t="n">
        <x:v>250</x:v>
      </x:c>
      <x:c r="D10" s="20" t="n">
        <x:v>450</x:v>
      </x:c>
      <x:c r="E10" s="20" t="n">
        <x:v>700</x:v>
      </x:c>
      <x:c r="F10" s="21"/>
      <x:c r="G10" s="20" t="n">
        <x:f>IF(F10="",0,F10-D10)</x:f>
        <x:v>0</x:v>
      </x:c>
      <x:c r="H10" s="17" t="str">
        <x:v>Sí</x:v>
      </x:c>
      <x:c r="I10" s="17" t="str">
        <x:v>G2</x:v>
      </x:c>
      <x:c r="J10" s="17" t="str">
        <x:v>Puntos unidos al bastidor</x:v>
      </x:c>
    </x:row>
    <x:row r="11">
      <x:c r="A11" s="17" t="n">
        <x:v>8</x:v>
      </x:c>
      <x:c r="B11" s="17" t="str">
        <x:v>Estructura y piel artística</x:v>
      </x:c>
      <x:c r="C11" s="20" t="n">
        <x:v>800</x:v>
      </x:c>
      <x:c r="D11" s="20" t="n">
        <x:v>1400</x:v>
      </x:c>
      <x:c r="E11" s="20" t="n">
        <x:v>2500</x:v>
      </x:c>
      <x:c r="F11" s="21"/>
      <x:c r="G11" s="20" t="n">
        <x:f>IF(F11="",0,F11-D11)</x:f>
        <x:v>0</x:v>
      </x:c>
      <x:c r="H11" s="17" t="str">
        <x:v>No</x:v>
      </x:c>
      <x:c r="I11" s="17" t="str">
        <x:v>G4</x:v>
      </x:c>
      <x:c r="J11" s="17" t="str">
        <x:v>80–130 kg; sin fibra pesada</x:v>
      </x:c>
    </x:row>
    <x:row r="12">
      <x:c r="A12" s="17" t="n">
        <x:v>9</x:v>
      </x:c>
      <x:c r="B12" s="17" t="str">
        <x:v>E-stop, luces de seguridad y cableado</x:v>
      </x:c>
      <x:c r="C12" s="20" t="n">
        <x:v>450</x:v>
      </x:c>
      <x:c r="D12" s="20" t="n">
        <x:v>750</x:v>
      </x:c>
      <x:c r="E12" s="20" t="n">
        <x:v>1200</x:v>
      </x:c>
      <x:c r="F12" s="21"/>
      <x:c r="G12" s="20" t="n">
        <x:f>IF(F12="",0,F12-D12)</x:f>
        <x:v>0</x:v>
      </x:c>
      <x:c r="H12" s="17" t="str">
        <x:v>Sí</x:v>
      </x:c>
      <x:c r="I12" s="17" t="str">
        <x:v>G3</x:v>
      </x:c>
      <x:c r="J12" s="17" t="str">
        <x:v>Separado del audio AC</x:v>
      </x:c>
    </x:row>
    <x:row r="13">
      <x:c r="A13" s="17" t="n">
        <x:v>10</x:v>
      </x:c>
      <x:c r="B13" s="17" t="str">
        <x:v>Generador: alquiler/compra</x:v>
      </x:c>
      <x:c r="C13" s="20" t="n">
        <x:v>150</x:v>
      </x:c>
      <x:c r="D13" s="20" t="n">
        <x:v>800</x:v>
      </x:c>
      <x:c r="E13" s="20" t="n">
        <x:v>1200</x:v>
      </x:c>
      <x:c r="F13" s="21"/>
      <x:c r="G13" s="20" t="n">
        <x:f>IF(F13="",0,F13-D13)</x:f>
        <x:v>0</x:v>
      </x:c>
      <x:c r="H13" s="17" t="str">
        <x:v>Sí</x:v>
      </x:c>
      <x:c r="I13" s="17" t="str">
        <x:v>G3</x:v>
      </x:c>
      <x:c r="J13" s="17" t="str">
        <x:v>5,5 kW continuos; opera en tierra</x:v>
      </x:c>
    </x:row>
    <x:row r="14">
      <x:c r="A14" s="17" t="n">
        <x:v>11</x:v>
      </x:c>
      <x:c r="B14" s="17" t="str">
        <x:v>Tablero AC, cables, bandeja y extinción</x:v>
      </x:c>
      <x:c r="C14" s="20" t="n">
        <x:v>250</x:v>
      </x:c>
      <x:c r="D14" s="20" t="n">
        <x:v>450</x:v>
      </x:c>
      <x:c r="E14" s="20" t="n">
        <x:v>700</x:v>
      </x:c>
      <x:c r="F14" s="21"/>
      <x:c r="G14" s="20" t="n">
        <x:f>IF(F14="",0,F14-D14)</x:f>
        <x:v>0</x:v>
      </x:c>
      <x:c r="H14" s="17" t="str">
        <x:v>Sí</x:v>
      </x:c>
      <x:c r="I14" s="17" t="str">
        <x:v>G3</x:v>
      </x:c>
      <x:c r="J14" s="17" t="str">
        <x:v>RCD 30 mA y térmicas</x:v>
      </x:c>
    </x:row>
    <x:row r="15">
      <x:c r="A15" s="17" t="n">
        <x:v>12</x:v>
      </x:c>
      <x:c r="B15" s="17" t="str">
        <x:v>Estación DJ desplegable</x:v>
      </x:c>
      <x:c r="C15" s="20" t="n">
        <x:v>150</x:v>
      </x:c>
      <x:c r="D15" s="20" t="n">
        <x:v>300</x:v>
      </x:c>
      <x:c r="E15" s="20" t="n">
        <x:v>500</x:v>
      </x:c>
      <x:c r="F15" s="21"/>
      <x:c r="G15" s="20" t="n">
        <x:f>IF(F15="",0,F15-D15)</x:f>
        <x:v>0</x:v>
      </x:c>
      <x:c r="H15" s="17" t="str">
        <x:v>No</x:v>
      </x:c>
      <x:c r="I15" s="17" t="str">
        <x:v>G3</x:v>
      </x:c>
      <x:c r="J15" s="17" t="str">
        <x:v>Mesa con patas propias</x:v>
      </x:c>
    </x:row>
    <x:row r="16">
      <x:c r="A16" s="17" t="n">
        <x:v>13</x:v>
      </x:c>
      <x:c r="B16" s="17" t="str">
        <x:v>PA: primer alquiler</x:v>
      </x:c>
      <x:c r="C16" s="20" t="n">
        <x:v>120</x:v>
      </x:c>
      <x:c r="D16" s="20" t="n">
        <x:v>250</x:v>
      </x:c>
      <x:c r="E16" s="20" t="n">
        <x:v>3000</x:v>
      </x:c>
      <x:c r="F16" s="21"/>
      <x:c r="G16" s="20" t="n">
        <x:f>IF(F16="",0,F16-D16)</x:f>
        <x:v>0</x:v>
      </x:c>
      <x:c r="H16" s="17" t="str">
        <x:v>No</x:v>
      </x:c>
      <x:c r="I16" s="17" t="str">
        <x:v>G3</x:v>
      </x:c>
      <x:c r="J16" s="17" t="str">
        <x:v>Comprar queda fuera de fase 1</x:v>
      </x:c>
    </x:row>
    <x:row r="17">
      <x:c r="A17" s="17" t="n">
        <x:v>14</x:v>
      </x:c>
      <x:c r="B17" s="17" t="str">
        <x:v>Fabricación y consumibles</x:v>
      </x:c>
      <x:c r="C17" s="20" t="n">
        <x:v>600</x:v>
      </x:c>
      <x:c r="D17" s="20" t="n">
        <x:v>1000</x:v>
      </x:c>
      <x:c r="E17" s="20" t="n">
        <x:v>1800</x:v>
      </x:c>
      <x:c r="F17" s="21"/>
      <x:c r="G17" s="20" t="n">
        <x:f>IF(F17="",0,F17-D17)</x:f>
        <x:v>0</x:v>
      </x:c>
      <x:c r="H17" s="17" t="str">
        <x:v>No</x:v>
      </x:c>
      <x:c r="I17" s="17" t="str">
        <x:v>G4</x:v>
      </x:c>
      <x:c r="J17" s="17" t="str">
        <x:v>Contratar sólo uniones críticas</x:v>
      </x:c>
    </x:row>
    <x:row r="18">
      <x:c r="A18" s="17" t="n">
        <x:v>15</x:v>
      </x:c>
      <x:c r="B18" s="17" t="str">
        <x:v>Ensayos, trámite y logística</x:v>
      </x:c>
      <x:c r="C18" s="20" t="n">
        <x:v>300</x:v>
      </x:c>
      <x:c r="D18" s="20" t="n">
        <x:v>500</x:v>
      </x:c>
      <x:c r="E18" s="20" t="n">
        <x:v>900</x:v>
      </x:c>
      <x:c r="F18" s="21"/>
      <x:c r="G18" s="20" t="n">
        <x:f>IF(F18="",0,F18-D18)</x:f>
        <x:v>0</x:v>
      </x:c>
      <x:c r="H18" s="17" t="str">
        <x:v>Sí</x:v>
      </x:c>
      <x:c r="I18" s="17" t="str">
        <x:v>G4</x:v>
      </x:c>
      <x:c r="J18" s="17" t="str">
        <x:v>No decorar antes del rolling test</x:v>
      </x:c>
    </x:row>
    <x:row r="19">
      <x:c r="A19" s="17" t="n">
        <x:v>16</x:v>
      </x:c>
      <x:c r="B19" s="17" t="str">
        <x:v>Contingencia reservada</x:v>
      </x:c>
      <x:c r="C19" s="20" t="n">
        <x:v>900</x:v>
      </x:c>
      <x:c r="D19" s="20" t="n">
        <x:v>1300</x:v>
      </x:c>
      <x:c r="E19" s="20" t="n">
        <x:v>2200</x:v>
      </x:c>
      <x:c r="F19" s="21"/>
      <x:c r="G19" s="20" t="n">
        <x:f>IF(F19="",0,F19-D19)</x:f>
        <x:v>0</x:v>
      </x:c>
      <x:c r="H19" s="17" t="str">
        <x:v>Sí</x:v>
      </x:c>
      <x:c r="I19" s="17" t="str">
        <x:v>G5</x:v>
      </x:c>
      <x:c r="J19" s="17" t="str">
        <x:v>No comprometer antes de la prueba final</x:v>
      </x:c>
    </x:row>
    <x:row r="20">
      <x:c r="A20" s="17"/>
      <x:c r="B20" s="17"/>
      <x:c r="C20" s="20"/>
      <x:c r="D20" s="20"/>
      <x:c r="E20" s="20"/>
      <x:c r="F20" s="20"/>
      <x:c r="G20" s="20"/>
      <x:c r="H20" s="17"/>
      <x:c r="I20" s="17"/>
      <x:c r="J20" s="17"/>
    </x:row>
    <x:row r="21">
      <x:c r="A21" s="27" t="str"/>
      <x:c r="B21" s="27" t="str">
        <x:v>Subtotal sin contingencia</x:v>
      </x:c>
      <x:c r="C21" s="28" t="n">
        <x:f>SUM(C4:C18)</x:f>
        <x:v>7470</x:v>
      </x:c>
      <x:c r="D21" s="28" t="n">
        <x:f>SUM(D4:D18)</x:f>
        <x:v>13350</x:v>
      </x:c>
      <x:c r="E21" s="28" t="n">
        <x:f>SUM(E4:E18)</x:f>
        <x:v>26300</x:v>
      </x:c>
      <x:c r="F21" s="28" t="n">
        <x:f>SUM(D4:D18)+SUM(G4:G18)</x:f>
        <x:v>13350</x:v>
      </x:c>
      <x:c r="G21" s="28"/>
      <x:c r="H21" s="27"/>
      <x:c r="I21" s="27"/>
      <x:c r="J21" s="27"/>
    </x:row>
    <x:row r="22">
      <x:c r="A22" s="27" t="str"/>
      <x:c r="B22" s="27" t="str">
        <x:v>Total base</x:v>
      </x:c>
      <x:c r="C22" s="28" t="n">
        <x:f>SUM(C4:C19)</x:f>
        <x:v>8370</x:v>
      </x:c>
      <x:c r="D22" s="33" t="n">
        <x:f>SUM(D4:D19)</x:f>
        <x:v>14650</x:v>
      </x:c>
      <x:c r="E22" s="28" t="n">
        <x:f>SUM(E4:E19)</x:f>
        <x:v>28500</x:v>
      </x:c>
      <x:c r="F22" s="28" t="n">
        <x:f>SUM(D4:D19)+SUM(G4:G19)</x:f>
        <x:v>14650</x:v>
      </x:c>
      <x:c r="G22" s="28"/>
      <x:c r="H22" s="27"/>
      <x:c r="I22" s="27"/>
      <x:c r="J22" s="27"/>
    </x:row>
    <x:row r="23">
      <x:c r="A23" s="27" t="str"/>
      <x:c r="B23" s="27" t="str">
        <x:v>Techo duro</x:v>
      </x:c>
      <x:c r="C23" s="28" t="n">
        <x:f>15000</x:f>
        <x:v>15000</x:v>
      </x:c>
      <x:c r="D23" s="33" t="n">
        <x:f>15000</x:f>
        <x:v>15000</x:v>
      </x:c>
      <x:c r="E23" s="28" t="n">
        <x:f>15000</x:f>
        <x:v>15000</x:v>
      </x:c>
      <x:c r="F23" s="28" t="n">
        <x:f>15000</x:f>
        <x:v>15000</x:v>
      </x:c>
      <x:c r="G23" s="28"/>
      <x:c r="H23" s="27"/>
      <x:c r="I23" s="27"/>
      <x:c r="J23" s="27"/>
    </x:row>
    <x:row r="24">
      <x:c r="A24" s="31" t="str"/>
      <x:c r="B24" s="31" t="str">
        <x:v>Margen disponible</x:v>
      </x:c>
      <x:c r="C24" s="32" t="n">
        <x:f>C23-C22</x:f>
        <x:v>6630</x:v>
      </x:c>
      <x:c r="D24" s="34" t="n">
        <x:f>D23-D22</x:f>
        <x:v>350</x:v>
      </x:c>
      <x:c r="E24" s="32" t="n">
        <x:f>E23-E22</x:f>
        <x:v>-13500</x:v>
      </x:c>
      <x:c r="F24" s="32" t="n">
        <x:f>F23-F22</x:f>
        <x:v>350</x:v>
      </x:c>
      <x:c r="G24" s="32"/>
      <x:c r="H24" s="31"/>
      <x:c r="I24" s="31"/>
      <x:c r="J24" s="31"/>
    </x:row>
  </x:sheetData>
  <x:mergeCells>
    <x:mergeCell ref="A1:J1"/>
    <x:mergeCell ref="A2:J2"/>
  </x:mergeCells>
  <x:conditionalFormatting sqref="F24:F24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3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6" customHeight="1">
      <x:c r="A1" s="3" t="str">
        <x:v>TATÚ SONORO MÍNIMO · DECISIÓN</x:v>
      </x:c>
    </x:row>
    <x:row r="2" ht="28" customHeight="1">
      <x:c r="A2" s="7" t="str">
        <x:v>Versión compatible con techo duro de USD 15.000. Los antiguos 500 kg útiles dejan de aplicar.</x:v>
      </x:c>
    </x:row>
    <x:row r="4" ht="30" customHeight="1">
      <x:c r="A4" s="12" t="str">
        <x:v>Métrica</x:v>
      </x:c>
      <x:c r="B4" s="12" t="str">
        <x:v>Valor</x:v>
      </x:c>
      <x:c r="D4" s="12" t="str">
        <x:v>Modo</x:v>
      </x:c>
      <x:c r="E4" s="12" t="str">
        <x:v>Vehículo</x:v>
      </x:c>
      <x:c r="F4" s="12" t="str">
        <x:v>DJ / PA</x:v>
      </x:c>
      <x:c r="G4" s="12" t="str">
        <x:v>Generador</x:v>
      </x:c>
      <x:c r="H4" s="12" t="str">
        <x:v>Condición</x:v>
      </x:c>
    </x:row>
    <x:row r="5">
      <x:c r="A5" s="17" t="str">
        <x:v>Arquitectura</x:v>
      </x:c>
      <x:c r="B5" s="17" t="str">
        <x:v>Donor local 48 V · eje trasero 2WD</x:v>
      </x:c>
      <x:c r="D5" s="23" t="str">
        <x:v>MARCHA</x:v>
      </x:c>
      <x:c r="E5" s="23" t="str">
        <x:v>Cerrado; sólo piloto</x:v>
      </x:c>
      <x:c r="F5" s="23" t="str">
        <x:v>Guardados</x:v>
      </x:c>
      <x:c r="G5" s="23" t="str">
        <x:v>Apagado</x:v>
      </x:c>
      <x:c r="H5" s="23" t="str">
        <x:v>No pasajeros</x:v>
      </x:c>
    </x:row>
    <x:row r="6">
      <x:c r="A6" s="17" t="str">
        <x:v>Total base</x:v>
      </x:c>
      <x:c r="B6" s="35" t="n">
        <x:f>BOM!D22</x:f>
        <x:v>14650</x:v>
      </x:c>
      <x:c r="D6" s="36" t="str">
        <x:v>FIESTA</x:v>
      </x:c>
      <x:c r="E6" s="36" t="str">
        <x:v>Freno + calzos; tracción inhibida</x:v>
      </x:c>
      <x:c r="F6" s="36" t="str">
        <x:v>DJ en tierra; PA alquilado</x:v>
      </x:c>
      <x:c r="G6" s="36" t="str">
        <x:v>En tierra, afuera</x:v>
      </x:c>
      <x:c r="H6" s="36" t="str">
        <x:v>Sin movimiento</x:v>
      </x:c>
    </x:row>
    <x:row r="7">
      <x:c r="A7" s="17" t="str">
        <x:v>Margen al techo</x:v>
      </x:c>
      <x:c r="B7" s="35" t="n">
        <x:f>BOM!D24</x:f>
        <x:v>350</x:v>
      </x:c>
    </x:row>
    <x:row r="8">
      <x:c r="A8" s="17" t="str">
        <x:v>Donor objetivo</x:v>
      </x:c>
      <x:c r="B8" s="17" t="str">
        <x:v>USD 3.500; máximo absoluto USD 4.000</x:v>
      </x:c>
    </x:row>
    <x:row r="9" ht="30" customHeight="1">
      <x:c r="A9" s="17" t="str">
        <x:v>Velocidad</x:v>
      </x:c>
      <x:c r="B9" s="17" t="str">
        <x:v>5–8 km/h; 10 km/h tope</x:v>
      </x:c>
      <x:c r="D9" s="12" t="str">
        <x:v>DICTAMEN</x:v>
      </x:c>
      <x:c r="E9" s="12"/>
      <x:c r="F9" s="12"/>
      <x:c r="G9" s="12"/>
      <x:c r="H9" s="12"/>
    </x:row>
    <x:row r="10">
      <x:c r="A10" s="17" t="str">
        <x:v>Misión</x:v>
      </x:c>
      <x:c r="B10" s="17" t="str">
        <x:v>5 km por carga demostrados</x:v>
      </x:c>
      <x:c r="D10" s="40" t="str">
        <x:v>GO condicionado: comprar un donor usado sólo si frena, gira, tiene Tow/neutro verificable y recorre 5 km cargado. Si necesita batería completa, reconstrucción del transaxle o una mejora mayor de frenos, se rechaza.</x:v>
      </x:c>
    </x:row>
    <x:row r="11">
      <x:c r="A11" s="17" t="str">
        <x:v>Ocupación en marcha</x:v>
      </x:c>
      <x:c r="B11" s="17" t="str">
        <x:v>Sólo piloto sentado</x:v>
      </x:c>
    </x:row>
    <x:row r="12">
      <x:c r="A12" s="18" t="str">
        <x:v>DJ</x:v>
      </x:c>
      <x:c r="B12" s="18" t="str">
        <x:v>De pie sobre el suelo, vehículo detenido</x:v>
      </x:c>
    </x:row>
  </x:sheetData>
  <x:mergeCells>
    <x:mergeCell ref="A1:H1"/>
    <x:mergeCell ref="A2:H2"/>
    <x:mergeCell ref="D9:H9"/>
    <x:mergeCell ref="D10:H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17" hidden="0" customWidth="1"/>
    <x:col min="4" max="4" width="17" hidden="0" customWidth="1"/>
    <x:col min="5" max="5" width="17" hidden="0" customWidth="1"/>
    <x:col min="6" max="6" width="12" hidden="0" customWidth="1"/>
    <x:col min="7" max="7" width="48" hidden="0" customWidth="1"/>
  </x:cols>
  <x:sheetData>
    <x:row r="1" ht="36" customHeight="1">
      <x:c r="A1" s="3" t="str">
        <x:v>GATES DE COMPRA Y ENSAYO</x:v>
      </x:c>
    </x:row>
    <x:row r="2" ht="28" customHeight="1">
      <x:c r="A2" s="7" t="str">
        <x:v>No compensar un gate excedido eliminando frenos, E-stop, extinción o ensayos.</x:v>
      </x:c>
    </x:row>
    <x:row r="3" ht="30" customHeight="1">
      <x:c r="A3" s="12" t="str">
        <x:v>Gate</x:v>
      </x:c>
      <x:c r="B3" s="12" t="str">
        <x:v>Decisión</x:v>
      </x:c>
      <x:c r="C3" s="12" t="str">
        <x:v>Valor base</x:v>
      </x:c>
      <x:c r="D3" s="12" t="str">
        <x:v>Límite</x:v>
      </x:c>
      <x:c r="E3" s="12" t="str">
        <x:v>Margen</x:v>
      </x:c>
      <x:c r="F3" s="12" t="str">
        <x:v>Estado</x:v>
      </x:c>
      <x:c r="G3" s="12" t="str">
        <x:v>Evidencia</x:v>
      </x:c>
    </x:row>
    <x:row r="4">
      <x:c r="A4" s="17" t="str">
        <x:v>G1</x:v>
      </x:c>
      <x:c r="B4" s="17" t="str">
        <x:v>Donor + service + reparación batería</x:v>
      </x:c>
      <x:c r="C4" s="20" t="n">
        <x:f>BOM!D4+BOM!D6+BOM!D7</x:f>
        <x:v>4950</x:v>
      </x:c>
      <x:c r="D4" s="20" t="n">
        <x:v>4950</x:v>
      </x:c>
      <x:c r="E4" s="20" t="n">
        <x:f>D4-C4</x:f>
        <x:v>0</x:v>
      </x:c>
      <x:c r="F4" s="17" t="str">
        <x:f>IF(E4&gt;=0,"PASS","STOP")</x:f>
        <x:v>PASS</x:v>
      </x:c>
      <x:c r="G4" s="17" t="str">
        <x:v>Prueba batería + frenos + dirección</x:v>
      </x:c>
    </x:row>
    <x:row r="5">
      <x:c r="A5" s="17" t="str">
        <x:v>G2</x:v>
      </x:c>
      <x:c r="B5" s="17" t="str">
        <x:v>Donor + ruedas + Tow/recuperación</x:v>
      </x:c>
      <x:c r="C5" s="20" t="n">
        <x:f>BOM!D4+BOM!D8+BOM!D9+BOM!D10</x:f>
        <x:v>6050</x:v>
      </x:c>
      <x:c r="D5" s="20" t="n">
        <x:v>6500</x:v>
      </x:c>
      <x:c r="E5" s="20" t="n">
        <x:f>D5-C5</x:f>
        <x:v>450</x:v>
      </x:c>
      <x:c r="F5" s="17" t="str">
        <x:f>IF(E5&gt;=0,"PASS","STOP")</x:f>
        <x:v>PASS</x:v>
      </x:c>
      <x:c r="G5" s="17" t="str">
        <x:v>Carga de neumático + Tow con llave fuera</x:v>
      </x:c>
    </x:row>
    <x:row r="6">
      <x:c r="A6" s="17" t="str">
        <x:v>G3</x:v>
      </x:c>
      <x:c r="B6" s="17" t="str">
        <x:v>Seguridad + generador + AC + DJ + PA</x:v>
      </x:c>
      <x:c r="C6" s="20" t="n">
        <x:f>SUM(BOM!D12:D16)</x:f>
        <x:v>2550</x:v>
      </x:c>
      <x:c r="D6" s="20" t="n">
        <x:v>2550</x:v>
      </x:c>
      <x:c r="E6" s="20" t="n">
        <x:f>D6-C6</x:f>
        <x:v>0</x:v>
      </x:c>
      <x:c r="F6" s="17" t="str">
        <x:f>IF(E6&gt;=0,"PASS","STOP")</x:f>
        <x:v>PASS</x:v>
      </x:c>
      <x:c r="G6" s="17" t="str">
        <x:v>RCD, puesta a tierra y tracción inhibida</x:v>
      </x:c>
    </x:row>
    <x:row r="7">
      <x:c r="A7" s="17" t="str">
        <x:v>G4</x:v>
      </x:c>
      <x:c r="B7" s="17" t="str">
        <x:v>Arte + fabricación + ensayos</x:v>
      </x:c>
      <x:c r="C7" s="20" t="n">
        <x:f>BOM!D11+BOM!D17+BOM!D18</x:f>
        <x:v>2900</x:v>
      </x:c>
      <x:c r="D7" s="20" t="n">
        <x:v>2900</x:v>
      </x:c>
      <x:c r="E7" s="20" t="n">
        <x:f>D7-C7</x:f>
        <x:v>0</x:v>
      </x:c>
      <x:c r="F7" s="17" t="str">
        <x:f>IF(E7&gt;=0,"PASS","STOP")</x:f>
        <x:v>PASS</x:v>
      </x:c>
      <x:c r="G7" s="17" t="str">
        <x:v>Pesaje y rolling test antes de piel</x:v>
      </x:c>
    </x:row>
    <x:row r="8">
      <x:c r="A8" s="17" t="str">
        <x:v>G5</x:v>
      </x:c>
      <x:c r="B8" s="17" t="str">
        <x:v>Reserva final</x:v>
      </x:c>
      <x:c r="C8" s="20" t="n">
        <x:f>BOM!D19</x:f>
        <x:v>1300</x:v>
      </x:c>
      <x:c r="D8" s="20" t="n">
        <x:v>1300</x:v>
      </x:c>
      <x:c r="E8" s="20" t="n">
        <x:f>D8-C8</x:f>
        <x:v>0</x:v>
      </x:c>
      <x:c r="F8" s="17" t="str">
        <x:f>IF(E8&gt;=0,"PASS","STOP")</x:f>
        <x:v>PASS</x:v>
      </x:c>
      <x:c r="G8" s="17" t="str">
        <x:v>No comprometida</x:v>
      </x:c>
    </x:row>
    <x:row r="9">
      <x:c r="A9" s="18" t="str">
        <x:v>TOTAL</x:v>
      </x:c>
      <x:c r="B9" s="18" t="str">
        <x:v>Proyecto completo</x:v>
      </x:c>
      <x:c r="C9" s="22" t="n">
        <x:f>BOM!D22</x:f>
        <x:v>14650</x:v>
      </x:c>
      <x:c r="D9" s="22" t="n">
        <x:v>15000</x:v>
      </x:c>
      <x:c r="E9" s="22" t="n">
        <x:f>D9-C9</x:f>
        <x:v>350</x:v>
      </x:c>
      <x:c r="F9" s="18" t="str">
        <x:f>IF(E9&gt;=0,"PASS","STOP")</x:f>
        <x:v>PASS</x:v>
      </x:c>
      <x:c r="G9" s="18" t="str">
        <x:v>Cotizaciones aprobadas</x:v>
      </x:c>
    </x:row>
  </x:sheetData>
  <x:mergeCells>
    <x:mergeCell ref="A1:G1"/>
    <x:mergeCell ref="A2:G2"/>
  </x:mergeCells>
  <x:conditionalFormatting sqref="F4:F9">
    <x:cfRule type="expression" dxfId="1" priority="1">
      <x:formula>F4="PASS"</x:formula>
    </x:cfRule>
    <x:cfRule type="expression" dxfId="2" priority="2">
      <x:formula>F4="STOP"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4" hidden="0" customWidth="1"/>
    <x:col min="3" max="3" width="34" hidden="0" customWidth="1"/>
    <x:col min="4" max="4" width="36" hidden="0" customWidth="1"/>
    <x:col min="5" max="5" width="38" hidden="0" customWidth="1"/>
    <x:col min="6" max="6" width="18" hidden="0" customWidth="1"/>
  </x:cols>
  <x:sheetData>
    <x:row r="1" ht="36" customHeight="1">
      <x:c r="A1" s="3" t="str">
        <x:v>ESPECIFICACIÓN DE PREFACTIBILIDAD</x:v>
      </x:c>
    </x:row>
    <x:row r="2" ht="28" customHeight="1">
      <x:c r="A2" s="7" t="str">
        <x:v>Criterios para inspección del donor y rolling test. No habilita vía pública ni reemplaza ingeniería de detalle.</x:v>
      </x:c>
    </x:row>
    <x:row r="3" ht="30" customHeight="1">
      <x:c r="A3" s="12" t="str">
        <x:v>Sistema</x:v>
      </x:c>
      <x:c r="B3" s="12" t="str">
        <x:v>Base</x:v>
      </x:c>
      <x:c r="C3" s="12" t="str">
        <x:v>Preferido</x:v>
      </x:c>
      <x:c r="D3" s="12" t="str">
        <x:v>No-go</x:v>
      </x:c>
      <x:c r="E3" s="12" t="str">
        <x:v>Ensayo</x:v>
      </x:c>
      <x:c r="F3" s="12" t="str">
        <x:v>Responsable</x:v>
      </x:c>
    </x:row>
    <x:row r="4">
      <x:c r="A4" s="17" t="str">
        <x:v>Donor</x:v>
      </x:c>
      <x:c r="B4" s="17" t="str">
        <x:v>Carro de golf/utilitario 48 V 2WD</x:v>
      </x:c>
      <x:c r="C4" s="17" t="str">
        <x:v>Carga fabricante ≥350 kg</x:v>
      </x:c>
      <x:c r="D4" s="17" t="str">
        <x:v>Sin placa/capacidad o chasis fisurado</x:v>
      </x:c>
      <x:c r="E4" s="17" t="str">
        <x:v>5 km cargado; pesaje por eje</x:v>
      </x:c>
      <x:c r="F4" s="17" t="str">
        <x:v>Mecánica</x:v>
      </x:c>
    </x:row>
    <x:row r="5">
      <x:c r="A5" s="17" t="str">
        <x:v>Tracción</x:v>
      </x:c>
      <x:c r="B5" s="17" t="str">
        <x:v>Eje trasero 3–5 kW nominal</x:v>
      </x:c>
      <x:c r="C5" s="17" t="str">
        <x:v>Diferencial bloqueable/LSD</x:v>
      </x:c>
      <x:c r="D5" s="17" t="str">
        <x:v>Open diff que queda con una rueda</x:v>
      </x:c>
      <x:c r="E5" s="17" t="str">
        <x:v>Arranque en pasto y +10% seco</x:v>
      </x:c>
      <x:c r="F5" s="17" t="str">
        <x:v>Mecánica</x:v>
      </x:c>
    </x:row>
    <x:row r="6">
      <x:c r="A6" s="17" t="str">
        <x:v>Ruedas</x:v>
      </x:c>
      <x:c r="B6" s="17" t="str">
        <x:v>25×10-12 atrás; 24×8-12 adelante</x:v>
      </x:c>
      <x:c r="C6" s="17" t="str">
        <x:v>6PR, safety bead, offset OEM</x:v>
      </x:c>
      <x:c r="D6" s="17" t="str">
        <x:v>Sin tabla de carga o interferencia</x:v>
      </x:c>
      <x:c r="E6" s="17" t="str">
        <x:v>Giro/full bump; temperatura; huella</x:v>
      </x:c>
      <x:c r="F6" s="17" t="str">
        <x:v>Rodaje</x:v>
      </x:c>
    </x:row>
    <x:row r="7">
      <x:c r="A7" s="17" t="str">
        <x:v>Presión</x:v>
      </x:c>
      <x:c r="B7" s="17" t="str">
        <x:v>8–10 psi inicial</x:v>
      </x:c>
      <x:c r="C7" s="17" t="str">
        <x:v>Ajuste según fabricante</x:v>
      </x:c>
      <x:c r="D7" s="17" t="str">
        <x:v>&lt;5 psi sin retención/ensayo</x:v>
      </x:c>
      <x:c r="E7" s="17" t="str">
        <x:v>Manómetro baja presión</x:v>
      </x:c>
      <x:c r="F7" s="17" t="str">
        <x:v>Rodaje</x:v>
      </x:c>
    </x:row>
    <x:row r="8">
      <x:c r="A8" s="17" t="str">
        <x:v>Frenos</x:v>
      </x:c>
      <x:c r="B8" s="17" t="str">
        <x:v>Servicio + parking funcional</x:v>
      </x:c>
      <x:c r="C8" s="17" t="str">
        <x:v>Revisados antes de ruedas grandes</x:v>
      </x:c>
      <x:c r="D8" s="17" t="str">
        <x:v>Compensar costo recortando frenos</x:v>
      </x:c>
      <x:c r="E8" s="17" t="str">
        <x:v>Parada recta y retención en pendiente</x:v>
      </x:c>
      <x:c r="F8" s="17" t="str">
        <x:v>Frenos</x:v>
      </x:c>
    </x:row>
    <x:row r="9">
      <x:c r="A9" s="17" t="str">
        <x:v>Empuje</x:v>
      </x:c>
      <x:c r="B9" s="17" t="str">
        <x:v>Tow/neutro verificado</x:v>
      </x:c>
      <x:c r="C9" s="17" t="str">
        <x:v>&lt;150 N continuo; &lt;250 N arranque</x:v>
      </x:c>
      <x:c r="D9" s="17" t="str">
        <x:v>Neutral sólo electrónico</x:v>
      </x:c>
      <x:c r="E9" s="17" t="str">
        <x:v>2 adultos, llave fuera, piso firme</x:v>
      </x:c>
      <x:c r="F9" s="17" t="str">
        <x:v>Ensayos</x:v>
      </x:c>
    </x:row>
    <x:row r="10">
      <x:c r="A10" s="17" t="str">
        <x:v>Audio</x:v>
      </x:c>
      <x:c r="B10" s="17" t="str">
        <x:v>PA alquilado en fase 1</x:v>
      </x:c>
      <x:c r="C10" s="17" t="str">
        <x:v>2 tops + 1 sub</x:v>
      </x:c>
      <x:c r="D10" s="17" t="str">
        <x:v>Comprar PA dentro del CAPEX</x:v>
      </x:c>
      <x:c r="E10" s="17" t="str">
        <x:v>4 h con generador y RCD</x:v>
      </x:c>
      <x:c r="F10" s="17" t="str">
        <x:v>Sonido</x:v>
      </x:c>
    </x:row>
    <x:row r="11">
      <x:c r="A11" s="17" t="str">
        <x:v>DJ</x:v>
      </x:c>
      <x:c r="B11" s="17" t="str">
        <x:v>De pie sobre el suelo</x:v>
      </x:c>
      <x:c r="C11" s="17" t="str">
        <x:v>Mesa nivelable con patas</x:v>
      </x:c>
      <x:c r="D11" s="17" t="str">
        <x:v>A bordo o de pie en movimiento</x:v>
      </x:c>
      <x:c r="E11" s="17" t="str">
        <x:v>Interlock de despliegue</x:v>
      </x:c>
      <x:c r="F11" s="17" t="str">
        <x:v>Operación</x:v>
      </x:c>
    </x:row>
    <x:row r="12">
      <x:c r="A12" s="17" t="str">
        <x:v>Generador</x:v>
      </x:c>
      <x:c r="B12" s="17" t="str">
        <x:v>5,5 kW continuos</x:v>
      </x:c>
      <x:c r="C12" s="17" t="str">
        <x:v>Inverter/THD &lt;5% si alcanza</x:v>
      </x:c>
      <x:c r="D12" s="17" t="str">
        <x:v>Encendido en movimiento/encerrado</x:v>
      </x:c>
      <x:c r="E12" s="17" t="str">
        <x:v>4 h, tensión, frecuencia y temperatura</x:v>
      </x:c>
      <x:c r="F12" s="17" t="str">
        <x:v>Eléctrica</x:v>
      </x:c>
    </x:row>
    <x:row r="13">
      <x:c r="A13" s="18" t="str">
        <x:v>Arte</x:v>
      </x:c>
      <x:c r="B13" s="18" t="str">
        <x:v>80–130 kg; modular</x:v>
      </x:c>
      <x:c r="C13" s="18" t="str">
        <x:v>7 bandas atornilladas</x:v>
      </x:c>
      <x:c r="D13" s="18" t="str">
        <x:v>Fibra pesada o bloquea ruedas</x:v>
      </x:c>
      <x:c r="E13" s="18" t="str">
        <x:v>Pesaje, acceso y bordes</x:v>
      </x:c>
      <x:c r="F13" s="18" t="str">
        <x:v>Diseño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8" hidden="0" customWidth="1"/>
    <x:col min="3" max="3" width="78" hidden="0" customWidth="1"/>
    <x:col min="4" max="4" width="38" hidden="0" customWidth="1"/>
  </x:cols>
  <x:sheetData>
    <x:row r="1" ht="36" customHeight="1">
      <x:c r="A1" s="3" t="str">
        <x:v>FUENTES Y COTIZACIONES</x:v>
      </x:c>
    </x:row>
    <x:row r="2" ht="28" customHeight="1">
      <x:c r="A2" s="7" t="str">
        <x:v>Precios de marketplace son indicativos; verificar modelo, fecha, impuestos, entrega y estado antes de comprometer fondos.</x:v>
      </x:c>
    </x:row>
    <x:row r="3" ht="30" customHeight="1">
      <x:c r="A3" s="12" t="str">
        <x:v>Tema</x:v>
      </x:c>
      <x:c r="B3" s="12" t="str">
        <x:v>Fuente</x:v>
      </x:c>
      <x:c r="C3" s="12" t="str">
        <x:v>URL</x:v>
      </x:c>
      <x:c r="D3" s="12" t="str">
        <x:v>Uso</x:v>
      </x:c>
    </x:row>
    <x:row r="4">
      <x:c r="A4" s="17" t="str">
        <x:v>Donor local usado</x:v>
      </x:c>
      <x:c r="B4" s="17" t="str">
        <x:v>MercadoLibre Argentina</x:v>
      </x:c>
      <x:c r="C4" s="17" t="str">
        <x:v>https://listado.mercadolibre.com.ar/carros-de-golf-electricos-usados</x:v>
      </x:c>
      <x:c r="D4" s="17" t="str">
        <x:v>Rango y disponibilidad</x:v>
      </x:c>
    </x:row>
    <x:row r="5">
      <x:c r="A5" s="17" t="str">
        <x:v>Referencia técnica donor</x:v>
      </x:c>
      <x:c r="B5" s="17" t="str">
        <x:v>Club Car Carryall 300</x:v>
      </x:c>
      <x:c r="C5" s="17" t="str">
        <x:v>https://www.clubcar.com/-/media/project/milky-way/clubcar/clubcar-documents/pdf/literature/commercial/carryall/comm0045---carryall-300-brochure-lr.pdf</x:v>
      </x:c>
      <x:c r="D5" s="17" t="str">
        <x:v>Potencia y capacidad del fabricante</x:v>
      </x:c>
    </x:row>
    <x:row r="6">
      <x:c r="A6" s="17" t="str">
        <x:v>Neumático trasero</x:v>
      </x:c>
      <x:c r="B6" s="17" t="str">
        <x:v>MercadoLibre Argentina</x:v>
      </x:c>
      <x:c r="C6" s="17" t="str">
        <x:v>https://www.mercadolibre.com.ar/cubierta-25x1012-honda-polaris-can-am-kawasak-tacos-ref-6-t/up/MLAU298485992</x:v>
      </x:c>
      <x:c r="D6" s="17" t="str">
        <x:v>Precio indicativo; no prueba carga</x:v>
      </x:c>
    </x:row>
    <x:row r="7">
      <x:c r="A7" s="17" t="str">
        <x:v>Neumático delantero</x:v>
      </x:c>
      <x:c r="B7" s="17" t="str">
        <x:v>MercadoLibre Argentina</x:v>
      </x:c>
      <x:c r="C7" s="17" t="str">
        <x:v>https://listado.mercadolibre.com.ar/cubiertas-24-8-12</x:v>
      </x:c>
      <x:c r="D7" s="17" t="str">
        <x:v>Precio indicativo</x:v>
      </x:c>
    </x:row>
    <x:row r="8">
      <x:c r="A8" s="17" t="str">
        <x:v>Generador</x:v>
      </x:c>
      <x:c r="B8" s="17" t="str">
        <x:v>MercadoLibre Argentina</x:v>
      </x:c>
      <x:c r="C8" s="17" t="str">
        <x:v>https://listado.mercadolibre.com.ar/grupos-electrogenos-6500w</x:v>
      </x:c>
      <x:c r="D8" s="17" t="str">
        <x:v>Rango local</x:v>
      </x:c>
    </x:row>
    <x:row r="9">
      <x:c r="A9" s="17" t="str">
        <x:v>PA alquilado</x:v>
      </x:c>
      <x:c r="B9" s="17" t="str">
        <x:v>OM Rental</x:v>
      </x:c>
      <x:c r="C9" s="17" t="str">
        <x:v>https://www.alquilerdecamaras.com.ar/rentals/omrental/</x:v>
      </x:c>
      <x:c r="D9" s="17" t="str">
        <x:v>Primeros eventos</x:v>
      </x:c>
    </x:row>
    <x:row r="10">
      <x:c r="A10" s="17" t="str">
        <x:v>Criterios Mutant Vehicle</x:v>
      </x:c>
      <x:c r="B10" s="17" t="str">
        <x:v>Burning Man</x:v>
      </x:c>
      <x:c r="C10" s="17" t="str">
        <x:v>https://burningman.org/black-rock-city/bring-your-mutant-vehicle/mv-criteria-and-licensing/</x:v>
      </x:c>
      <x:c r="D10" s="17" t="str">
        <x:v>Mutación radical y operación</x:v>
      </x:c>
    </x:row>
    <x:row r="11">
      <x:c r="A11" s="18" t="str">
        <x:v>Pequeños envíos</x:v>
      </x:c>
      <x:c r="B11" s="18" t="str">
        <x:v>ARCA</x:v>
      </x:c>
      <x:c r="C11" s="18" t="str">
        <x:v>https://www.arca.gob.ar/envios-internacionales/courier/importacion/pequenios-envios.asp</x:v>
      </x:c>
      <x:c r="D11" s="18" t="str">
        <x:v>Importación residual</x:v>
      </x:c>
    </x:row>
  </x:sheetData>
  <x:mergeCells>
    <x:mergeCell ref="A1:D1"/>
    <x:mergeCell ref="A2:D2"/>
  </x:mergeCells>
  <x:pageMargins left="0.7" right="0.7" top="0.75" bottom="0.75" header="0.3" footer="0.3"/>
</x:worksheet>
</file>