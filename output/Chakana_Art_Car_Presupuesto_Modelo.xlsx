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a77a15e23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b2911eb7f4f4aa0"/>
    <x:sheet xmlns:r="http://schemas.openxmlformats.org/officeDocument/2006/relationships" name="Supuestos" sheetId="2" r:id="Rdf190c3e3e594143"/>
    <x:sheet xmlns:r="http://schemas.openxmlformats.org/officeDocument/2006/relationships" name="Importación" sheetId="3" r:id="Red8196c15fcb42f6"/>
    <x:sheet xmlns:r="http://schemas.openxmlformats.org/officeDocument/2006/relationships" name="CAPEX" sheetId="4" r:id="Rf8b1e9a20a5d44bd"/>
    <x:sheet xmlns:r="http://schemas.openxmlformats.org/officeDocument/2006/relationships" name="Escenarios" sheetId="5" r:id="Rb658cac2f4fc4917"/>
    <x:sheet xmlns:r="http://schemas.openxmlformats.org/officeDocument/2006/relationships" name="OPEX" sheetId="6" r:id="R84ec3dc8759b4104"/>
    <x:sheet xmlns:r="http://schemas.openxmlformats.org/officeDocument/2006/relationships" name="Masa_Energía" sheetId="7" r:id="R603dd90609ab4caa"/>
    <x:sheet xmlns:r="http://schemas.openxmlformats.org/officeDocument/2006/relationships" name="Matriz" sheetId="8" r:id="R1a157561d0c74f7e"/>
    <x:sheet xmlns:r="http://schemas.openxmlformats.org/officeDocument/2006/relationships" name="Riesgos" sheetId="9" r:id="Rd3454df40c774ee8"/>
    <x:sheet xmlns:r="http://schemas.openxmlformats.org/officeDocument/2006/relationships" name="Fuentes" sheetId="10" r:id="R8b3b47f2b9ae443d"/>
  </x:sheets>
</x:workbook>
</file>

<file path=xl/comments1.xml><?xml version="1.0" encoding="utf-8"?>
<x:comments xmlns:x="http://schemas.openxmlformats.org/spreadsheetml/2006/main">
  <x:authors>
    <x:author>tc={461BBA13-0904-6D9F-6D87-386BBD794816}</x:author>
    <x:author>tc={47E00CE8-4BA5-28F4-796B-1C4AF970B5FF}</x:author>
    <x:author>tc={DAEAF142-B9E5-3F28-83AA-72E199EE69C8}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Fuente/criterio: BCRA; usar tipo contractual del día de pago. Base de planeamiento deliberadamente superior a la referencia observada.</x:t>
        </x:r>
      </x:text>
    </x:comment>
    <x:comment ref="B1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Decreto 1140/2024. La tasa estadística se mantiene como supuesto editable.</x:t>
        </x:r>
      </x:text>
    </x:comment>
    <x:comment ref="B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 comprar por este supuesto: el despachante debe emitir clasificación NCM escrita antes de la orden de compra.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#,##0"/>
    <x:numFmt numFmtId="202" formatCode="0.0"/>
    <x:numFmt numFmtId="203" formatCode="0.0%"/>
    <x:numFmt numFmtId="204" formatCode="0.00"/>
    <x:numFmt numFmtId="205" formatCode="0.00 &quot;kWh&quot;"/>
  </x:numFmts>
  <x:fonts count="7">
    <x:font>
      <x:sz val="11"/>
      <x:name val="Carlito"/>
    </x:font>
    <x:font>
      <x:b/>
      <x:sz val="18"/>
      <x:color rgb="FFFFFFFF"/>
      <x:name val="Arial"/>
    </x:font>
    <x:font>
      <x:i/>
      <x:sz val="10"/>
      <x:color rgb="FF61707D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b/>
      <x:sz val="10"/>
      <x:color rgb="FF17212B"/>
      <x:name val="Arial"/>
    </x:font>
    <x:font>
      <x:sz val="11"/>
      <x:color rgb="FF17212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283B"/>
      </x:patternFill>
    </x:fill>
    <x:fill>
      <x:patternFill patternType="solid">
        <x:fgColor rgb="FFF5F0E8"/>
      </x:patternFill>
    </x:fill>
    <x:fill>
      <x:patternFill patternType="solid">
        <x:fgColor rgb="FF1F5A75"/>
      </x:patternFill>
    </x:fill>
    <x:fill>
      <x:patternFill patternType="solid">
        <x:fgColor rgb="FFE9F3F3"/>
      </x:patternFill>
    </x:fill>
    <x:fill>
      <x:patternFill patternType="solid">
        <x:fgColor rgb="FFDCEBDD"/>
      </x:patternFill>
    </x:fill>
    <x:fill>
      <x:patternFill patternType="solid">
        <x:fgColor rgb="FFF5D9D5"/>
      </x:patternFill>
    </x:fill>
    <x:fill>
      <x:patternFill patternType="solid">
        <x:fgColor rgb="FFDDEBF7"/>
      </x:patternFill>
    </x:fill>
  </x:fills>
  <x:borders count="5">
    <x:border/>
    <x:border>
      <x:bottom style="thin">
        <x:color rgb="FF15283B"/>
      </x:bottom>
    </x:border>
    <x:border>
      <x:right style="hair">
        <x:color rgb="FFC9D2D8"/>
      </x:right>
    </x:border>
    <x:border>
      <x:bottom style="hair">
        <x:color rgb="FFC9D2D8"/>
      </x:bottom>
    </x:border>
    <x:border>
      <x:right style="hair">
        <x:color rgb="FFC9D2D8"/>
      </x:right>
      <x:bottom style="hair">
        <x:color rgb="FFC9D2D8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202" fontId="4" fillId="5" borderId="4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202" fontId="4" fillId="8" borderId="0" xfId="0" applyNumberFormat="1" applyFont="1" applyFill="1" applyBorder="1" applyAlignment="1">
      <x:alignment vertical="top" wrapText="1"/>
    </x:xf>
    <x:xf numFmtId="203" fontId="4" fillId="8" borderId="0" xfId="0" applyNumberFormat="1" applyFont="1" applyFill="1" applyBorder="1" applyAlignment="1">
      <x:alignment vertical="top" wrapText="1"/>
    </x:xf>
    <x:xf numFmtId="200" fontId="4" fillId="8" borderId="0" xfId="0" applyNumberFormat="1" applyFont="1" applyFill="1" applyBorder="1" applyAlignment="1">
      <x:alignment vertical="top" wrapText="1"/>
    </x:xf>
    <x:xf numFmtId="200" fontId="4" fillId="8" borderId="3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20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20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20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3" fontId="4" fillId="6" borderId="0" xfId="0" applyNumberFormat="1" applyFont="1" applyFill="1" applyBorder="1" applyAlignment="1">
      <x:alignment vertical="top" wrapText="1"/>
    </x:xf>
    <x:xf numFmtId="201" fontId="4" fillId="6" borderId="2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3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4" fontId="4" fillId="3" borderId="0" xfId="0" applyNumberFormat="1" applyFont="1" applyFill="1" applyBorder="1" applyAlignment="1">
      <x:alignment vertical="top" wrapText="1"/>
    </x:xf>
    <x:xf numFmtId="201" fontId="4" fillId="3" borderId="2" xfId="0" applyNumberFormat="1" applyFont="1" applyFill="1" applyBorder="1" applyAlignment="1">
      <x:alignment vertical="top" wrapText="1"/>
    </x:xf>
    <x:xf numFmtId="201" fontId="4" fillId="3" borderId="3" xfId="0" applyNumberFormat="1" applyFont="1" applyFill="1" applyBorder="1" applyAlignment="1">
      <x:alignment vertical="top" wrapText="1"/>
    </x:xf>
    <x:xf numFmtId="204" fontId="4" fillId="3" borderId="3" xfId="0" applyNumberFormat="1" applyFont="1" applyFill="1" applyBorder="1" applyAlignment="1">
      <x:alignment vertical="top" wrapText="1"/>
    </x:xf>
    <x:xf numFmtId="201" fontId="4" fillId="3" borderId="4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4" fontId="5" fillId="3" borderId="0" xfId="0" applyNumberFormat="1" applyFont="1" applyFill="1" applyBorder="1" applyAlignment="1">
      <x:alignment vertical="top" wrapText="1"/>
    </x:xf>
    <x:xf numFmtId="201" fontId="5" fillId="3" borderId="2" xfId="0" applyNumberFormat="1" applyFont="1" applyFill="1" applyBorder="1" applyAlignment="1">
      <x:alignment vertical="top" wrapText="1"/>
    </x:xf>
    <x:xf numFmtId="201" fontId="5" fillId="3" borderId="3" xfId="0" applyNumberFormat="1" applyFont="1" applyFill="1" applyBorder="1" applyAlignment="1">
      <x:alignment vertical="top" wrapText="1"/>
    </x:xf>
    <x:xf numFmtId="204" fontId="5" fillId="3" borderId="3" xfId="0" applyNumberFormat="1" applyFont="1" applyFill="1" applyBorder="1" applyAlignment="1">
      <x:alignment vertical="top" wrapText="1"/>
    </x:xf>
    <x:xf numFmtId="201" fontId="5" fillId="3" borderId="4" xfId="0" applyNumberFormat="1" applyFont="1" applyFill="1" applyBorder="1" applyAlignment="1">
      <x:alignment vertical="top" wrapText="1"/>
    </x:xf>
    <x:xf numFmtId="204" fontId="4" fillId="0" borderId="2" xfId="0" applyNumberFormat="1" applyFont="1" applyFill="1" applyBorder="1" applyAlignment="1">
      <x:alignment vertical="top" wrapText="1"/>
    </x:xf>
    <x:xf numFmtId="204" fontId="4" fillId="0" borderId="4" xfId="0" applyNumberFormat="1" applyFont="1" applyFill="1" applyBorder="1" applyAlignment="1">
      <x:alignment vertical="top" wrapText="1"/>
    </x:xf>
    <x:xf numFmtId="205" fontId="4" fillId="0" borderId="2" xfId="0" applyNumberFormat="1" applyFont="1" applyFill="1" applyBorder="1" applyAlignment="1">
      <x:alignment vertical="top" wrapText="1"/>
    </x:xf>
    <x:xf numFmtId="204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7212B"/>
      </x:font>
      <x:fill>
        <x:patternFill patternType="solid">
          <x:bgColor rgb="FFF5D9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0f0eb14d94326" /><Relationship Type="http://schemas.openxmlformats.org/officeDocument/2006/relationships/theme" Target="/xl/theme/theme1.xml" Id="R788d196fc69c47d6" /><Relationship Type="http://schemas.openxmlformats.org/officeDocument/2006/relationships/sharedStrings" Target="/xl/sharedStrings.xml" Id="R8db9579ab37846fa" /><Relationship Type="http://schemas.openxmlformats.org/officeDocument/2006/relationships/worksheet" Target="/xl/worksheets/sheet1.xml" Id="Rbb2911eb7f4f4aa0" /><Relationship Type="http://schemas.openxmlformats.org/officeDocument/2006/relationships/worksheet" Target="/xl/worksheets/sheet2.xml" Id="Rdf190c3e3e594143" /><Relationship Type="http://schemas.openxmlformats.org/officeDocument/2006/relationships/worksheet" Target="/xl/worksheets/sheet3.xml" Id="Red8196c15fcb42f6" /><Relationship Type="http://schemas.openxmlformats.org/officeDocument/2006/relationships/worksheet" Target="/xl/worksheets/sheet4.xml" Id="Rf8b1e9a20a5d44bd" /><Relationship Type="http://schemas.openxmlformats.org/officeDocument/2006/relationships/worksheet" Target="/xl/worksheets/sheet5.xml" Id="Rb658cac2f4fc4917" /><Relationship Type="http://schemas.openxmlformats.org/officeDocument/2006/relationships/worksheet" Target="/xl/worksheets/sheet6.xml" Id="R84ec3dc8759b4104" /><Relationship Type="http://schemas.openxmlformats.org/officeDocument/2006/relationships/worksheet" Target="/xl/worksheets/sheet7.xml" Id="R603dd90609ab4caa" /><Relationship Type="http://schemas.openxmlformats.org/officeDocument/2006/relationships/worksheet" Target="/xl/worksheets/sheet8.xml" Id="R1a157561d0c74f7e" /><Relationship Type="http://schemas.openxmlformats.org/officeDocument/2006/relationships/worksheet" Target="/xl/worksheets/sheet9.xml" Id="Rd3454df40c774ee8" /><Relationship Type="http://schemas.openxmlformats.org/officeDocument/2006/relationships/worksheet" Target="/xl/worksheets/sheet10.xml" Id="R8b3b47f2b9ae443d" /><Relationship Type="http://schemas.microsoft.com/office/2017/10/relationships/person" Target="/xl/persons/person.xml" Id="R4234b28282a147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d7945c123a43c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d84c4119b5343b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93537441dfd41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CAPEX neto vs caja por escenario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CAPEX neto</c:v>
          </c:tx>
          <c:cat>
            <c:strRef>
              <c:f>'Resumen'!$D$5:$D$8</c:f>
              <c:strCache>
                <c:ptCount val="0"/>
              </c:strCache>
            </c:strRef>
          </c:cat>
          <c:val>
            <c:numRef>
              <c:f>'Resumen'!$E$5:$E$8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Caja</c:v>
          </c:tx>
          <c:cat>
            <c:strRef>
              <c:f>'Resumen'!$D$5:$D$8</c:f>
              <c:strCache>
                <c:ptCount val="0"/>
              </c:strCache>
            </c:strRef>
          </c:cat>
          <c:val>
            <c:numRef>
              <c:f>'Resumen'!$F$5:$F$8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Costo neto y caja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CAPEX neto</c:v>
          </c:tx>
          <c:spPr>
            <a:solidFill xmlns:a="http://schemas.openxmlformats.org/drawingml/2006/main">
              <a:srgbClr val="56C6C6"/>
            </a:solidFill>
          </c:spPr>
          <c:cat>
            <c:strRef>
              <c:f>'Escenarios'!$A$5:$A$8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'Escenarios'!$M$5:$M$8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Caja</c:v>
          </c:tx>
          <c:spPr>
            <a:solidFill xmlns:a="http://schemas.openxmlformats.org/drawingml/2006/main">
              <a:srgbClr val="F0A43A"/>
            </a:solidFill>
          </c:spPr>
          <c:cat>
            <c:strRef>
              <c:f>'Escenarios'!$A$5:$A$8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'Escenarios'!$O$5:$O$8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Puntaje ponderado / 5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Puntaje</c:v>
          </c:tx>
          <c:spPr>
            <a:solidFill xmlns:a="http://schemas.openxmlformats.org/drawingml/2006/main">
              <a:srgbClr val="56C6C6"/>
            </a:solidFill>
          </c:spPr>
          <c:cat>
            <c:strRef>
              <c:f>'Matriz'!$A$5:$A$7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'Matriz'!$H$5:$H$7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d7945c123a43c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84c4119b5343b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3537441dfd411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quipo de anteproyecto" id="{E42E8AEC-BDB4-4BA3-A041-B6AAA7E38F0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13T14:40:29.227" personId="{E42E8AEC-BDB4-4BA3-A041-B6AAA7E38F0F}" id="{461BBA13-0904-6D9F-6D87-386BBD794816}">
    <xltc:text>Fuente/criterio: BCRA; usar tipo contractual del día de pago. Base de planeamiento deliberadamente superior a la referencia observada.</xltc:text>
  </xltc:threadedComment>
  <xltc:threadedComment ref="B16" dT="2026-08-13T14:40:29.228" personId="{E42E8AEC-BDB4-4BA3-A041-B6AAA7E38F0F}" id="{47E00CE8-4BA5-28F4-796B-1C4AF970B5FF}">
    <xltc:text>Fuente: Decreto 1140/2024. La tasa estadística se mantiene como supuesto editable.</xltc:text>
  </xltc:threadedComment>
  <xltc:threadedComment ref="B15" dT="2026-08-13T14:40:29.228" personId="{E42E8AEC-BDB4-4BA3-A041-B6AAA7E38F0F}" id="{DAEAF142-B9E5-3F28-83AA-72E199EE69C8}">
    <xltc:text>No comprar por este supuesto: el despachante debe emitir clasificación NCM escrita antes de la orden de compra.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78d1050c3a4b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b96343254c541c4" /><Relationship Type="http://schemas.openxmlformats.org/officeDocument/2006/relationships/vmlDrawing" Target="/xl/drawings/vmldrawing.vml" Id="R334b0092c1364708" /><Relationship Type="http://schemas.microsoft.com/office/2017/10/relationships/threadedComment" Target="/xl/threadedcomments/threadedcomment.xml" Id="Rf28c0f86a2f24e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f2c9f1a4730546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7e61b3e385b14cb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38" hidden="0" customWidth="1"/>
    <x:col min="9" max="9" width="3" hidden="0" customWidth="1"/>
    <x:col min="10" max="10" width="3" hidden="0" customWidth="1"/>
  </x:cols>
  <x:sheetData>
    <x:row r="1" ht="34" customHeight="1">
      <x:c r="A1" s="3" t="str">
        <x:v>CHAKANA ART CAR · MODELO ECONÓMICO</x:v>
      </x:c>
    </x:row>
    <x:row r="2" ht="28" customHeight="1">
      <x:c r="A2" s="7" t="str">
        <x:v>Prefactibilidad · valores de referencia en USD · agosto de 2026</x:v>
      </x:c>
    </x:row>
    <x:row r="4" ht="28" customHeight="1">
      <x:c r="A4" s="12" t="str">
        <x:v>Decisión</x:v>
      </x:c>
      <x:c r="B4" s="12" t="str">
        <x:v>Valor base</x:v>
      </x:c>
      <x:c r="D4" s="12" t="str">
        <x:v>Escenario</x:v>
      </x:c>
      <x:c r="E4" s="12" t="str">
        <x:v>CAPEX neto</x:v>
      </x:c>
      <x:c r="F4" s="12" t="str">
        <x:v>Caja</x:v>
      </x:c>
      <x:c r="G4" s="12" t="str">
        <x:v>ARS @ base</x:v>
      </x:c>
      <x:c r="H4" s="12" t="str">
        <x:v>Lectura</x:v>
      </x:c>
    </x:row>
    <x:row r="5">
      <x:c r="A5" s="21" t="str">
        <x:v>Concepto recomendado</x:v>
      </x:c>
      <x:c r="B5" s="29" t="str">
        <x:f>'Matriz'!A5</x:f>
        <x:v>Tatú Sonoro</x:v>
      </x:c>
      <x:c r="D5" s="21" t="str">
        <x:f>'Escenarios'!A5</x:f>
        <x:v>Económico</x:v>
      </x:c>
      <x:c r="E5" s="34" t="n">
        <x:f>'Escenarios'!M5</x:f>
        <x:v>43616.6</x:v>
      </x:c>
      <x:c r="F5" s="34" t="n">
        <x:f>'Escenarios'!O5</x:f>
        <x:v>50450.57</x:v>
      </x:c>
      <x:c r="G5" s="36" t="n">
        <x:f>F5*'Supuestos'!B4</x:f>
        <x:v>85765969</x:v>
      </x:c>
      <x:c r="H5" s="22" t="str">
        <x:v>Compacta: voluntariado y audio local menor</x:v>
      </x:c>
    </x:row>
    <x:row r="6">
      <x:c r="A6" s="21" t="str">
        <x:v>Masa de diseño (kg)</x:v>
      </x:c>
      <x:c r="B6" s="30" t="n">
        <x:f>'Masa_Energía'!B13</x:f>
        <x:v>1635</x:v>
      </x:c>
      <x:c r="D6" s="21" t="str">
        <x:f>'Escenarios'!A6</x:f>
        <x:v>Recomendado</x:v>
      </x:c>
      <x:c r="E6" s="34" t="n">
        <x:f>'Escenarios'!M6</x:f>
        <x:v>65925.6</x:v>
      </x:c>
      <x:c r="F6" s="34" t="n">
        <x:f>'Escenarios'!O6</x:f>
        <x:v>76467.12000000001</x:v>
      </x:c>
      <x:c r="G6" s="36" t="n">
        <x:f>F6*'Supuestos'!B4</x:f>
        <x:v>129994104.00000001</x:v>
      </x:c>
      <x:c r="H6" s="22" t="str">
        <x:v>Base recomendada: 4WD 12 kW + DJ direccional</x:v>
      </x:c>
    </x:row>
    <x:row r="7">
      <x:c r="A7" s="21" t="str">
        <x:v>Carga útil (kg)</x:v>
      </x:c>
      <x:c r="B7" s="30" t="n">
        <x:f>'Supuestos'!B7</x:f>
        <x:v>500</x:v>
      </x:c>
      <x:c r="D7" s="21" t="str">
        <x:f>'Escenarios'!A7</x:f>
        <x:v>Estrés</x:v>
      </x:c>
      <x:c r="E7" s="34" t="n">
        <x:f>'Escenarios'!M7</x:f>
        <x:v>93601</x:v>
      </x:c>
      <x:c r="F7" s="34" t="n">
        <x:f>'Escenarios'!O7</x:f>
        <x:v>109312.3</x:v>
      </x:c>
      <x:c r="G7" s="36" t="n">
        <x:f>F7*'Supuestos'!B4</x:f>
        <x:v>185830910</x:v>
      </x:c>
      <x:c r="H7" s="22" t="str">
        <x:v>Estrés: arancel alto y fabricación contratada</x:v>
      </x:c>
    </x:row>
    <x:row r="8">
      <x:c r="A8" s="21" t="str">
        <x:v>CAPEX neto</x:v>
      </x:c>
      <x:c r="B8" s="31" t="n">
        <x:f>'Escenarios'!M6</x:f>
        <x:v>65925.6</x:v>
      </x:c>
      <x:c r="D8" s="23" t="str">
        <x:f>'Escenarios'!A8</x:f>
        <x:v>Orugas</x:v>
      </x:c>
      <x:c r="E8" s="35" t="n">
        <x:f>'Escenarios'!M8</x:f>
        <x:v>63756.5</x:v>
      </x:c>
      <x:c r="F8" s="35" t="n">
        <x:f>'Escenarios'!O8</x:f>
        <x:v>70344.95</x:v>
      </x:c>
      <x:c r="G8" s="37" t="n">
        <x:f>F8*'Supuestos'!B4</x:f>
        <x:v>119586415</x:v>
      </x:c>
      <x:c r="H8" s="24" t="str">
        <x:v>Orugas: integración, transporte y seguridad complejos</x:v>
      </x:c>
    </x:row>
    <x:row r="9">
      <x:c r="A9" s="21" t="str">
        <x:v>Caja máxima estimada</x:v>
      </x:c>
      <x:c r="B9" s="31" t="n">
        <x:f>'Escenarios'!O6</x:f>
        <x:v>76467.12000000001</x:v>
      </x:c>
    </x:row>
    <x:row r="10">
      <x:c r="A10" s="21" t="str">
        <x:v>Caja a ARS base</x:v>
      </x:c>
      <x:c r="B10" s="31" t="n">
        <x:f>B9*'Supuestos'!B4</x:f>
        <x:v>129994104.00000001</x:v>
      </x:c>
    </x:row>
    <x:row r="11">
      <x:c r="A11" s="21" t="str">
        <x:v>OPEX por evento</x:v>
      </x:c>
      <x:c r="B11" s="31" t="n">
        <x:f>'OPEX'!C12</x:f>
        <x:v>3410</x:v>
      </x:c>
    </x:row>
    <x:row r="12">
      <x:c r="A12" s="21" t="str">
        <x:v>Potencia tracción continua (kW)</x:v>
      </x:c>
      <x:c r="B12" s="32" t="n">
        <x:f>'Supuestos'!B10</x:f>
        <x:v>12</x:v>
      </x:c>
    </x:row>
    <x:row r="13">
      <x:c r="A13" s="23" t="str">
        <x:v>Batería nominal (kWh)</x:v>
      </x:c>
      <x:c r="B13" s="33" t="n">
        <x:f>'Supuestos'!B11</x:f>
        <x:v>15</x:v>
      </x:c>
    </x:row>
    <x:row r="16" ht="28" customHeight="1">
      <x:c r="A16" s="12" t="str">
        <x:v>Semáforo de decisión</x:v>
      </x:c>
      <x:c r="B16" s="12"/>
      <x:c r="C16" s="12"/>
      <x:c r="D16" s="12"/>
      <x:c r="E16" s="12"/>
      <x:c r="F16" s="12"/>
      <x:c r="G16" s="12"/>
      <x:c r="H16" s="12"/>
    </x:row>
    <x:row r="17">
      <x:c r="A17" s="39" t="str">
        <x:v>GO</x:v>
      </x:c>
      <x:c r="B17" s="21" t="str">
        <x:v>RFQ confirma GVWR ≥1,7 t, carga estructural ≥1,1 t sobre rolling chassis y frenos mecánicos 4 ruedas.</x:v>
      </x:c>
      <x:c r="C17" s="21"/>
      <x:c r="D17" s="21"/>
      <x:c r="E17" s="21"/>
      <x:c r="F17" s="21"/>
      <x:c r="G17" s="21"/>
      <x:c r="H17" s="22"/>
    </x:row>
    <x:row r="18">
      <x:c r="A18" s="39" t="str">
        <x:v>GO</x:v>
      </x:c>
      <x:c r="B18" s="21" t="str">
        <x:v>Pesaje proyectado: tara ≤1.200 kg; carga útil 500 kg; CG cargado ≤0,75 m.</x:v>
      </x:c>
      <x:c r="C18" s="21"/>
      <x:c r="D18" s="21"/>
      <x:c r="E18" s="21"/>
      <x:c r="F18" s="21"/>
      <x:c r="G18" s="21"/>
      <x:c r="H18" s="22"/>
    </x:row>
    <x:row r="19">
      <x:c r="A19" s="39" t="str">
        <x:v>GO</x:v>
      </x:c>
      <x:c r="B19" s="21" t="str">
        <x:v>Misión 5 km con PA/luces activos termina ≥20% SOC.</x:v>
      </x:c>
      <x:c r="C19" s="21"/>
      <x:c r="D19" s="21"/>
      <x:c r="E19" s="21"/>
      <x:c r="F19" s="21"/>
      <x:c r="G19" s="21"/>
      <x:c r="H19" s="22"/>
    </x:row>
    <x:row r="20">
      <x:c r="A20" s="42" t="str">
        <x:v>NO-GO</x:v>
      </x:c>
      <x:c r="B20" s="21" t="str">
        <x:v>Producto sin masa, GVWR, curvas de torque, freno de estacionamiento o UN38.3.</x:v>
      </x:c>
      <x:c r="C20" s="21"/>
      <x:c r="D20" s="21"/>
      <x:c r="E20" s="21"/>
      <x:c r="F20" s="21"/>
      <x:c r="G20" s="21"/>
      <x:c r="H20" s="22"/>
    </x:row>
    <x:row r="21">
      <x:c r="A21" s="42" t="str">
        <x:v>NO-GO</x:v>
      </x:c>
      <x:c r="B21" s="21" t="str">
        <x:v>DJ de pie o pasajeros de pie mientras el vehículo se mueve.</x:v>
      </x:c>
      <x:c r="C21" s="21"/>
      <x:c r="D21" s="21"/>
      <x:c r="E21" s="21"/>
      <x:c r="F21" s="21"/>
      <x:c r="G21" s="21"/>
      <x:c r="H21" s="22"/>
    </x:row>
    <x:row r="22">
      <x:c r="A22" s="43" t="str">
        <x:v>NO-GO</x:v>
      </x:c>
      <x:c r="B22" s="23" t="str">
        <x:v>Ruedas encerradas sin recorrido, drenaje y acceso de inspección.</x:v>
      </x:c>
      <x:c r="C22" s="23"/>
      <x:c r="D22" s="23"/>
      <x:c r="E22" s="23"/>
      <x:c r="F22" s="23"/>
      <x:c r="G22" s="23"/>
      <x:c r="H22" s="24"/>
    </x:row>
  </x:sheetData>
  <x:mergeCells>
    <x:mergeCell ref="A1:J1"/>
    <x:mergeCell ref="A2:J2"/>
    <x:mergeCell ref="A16:H16"/>
    <x:mergeCell ref="B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  <x:drawing xmlns:r="http://schemas.openxmlformats.org/officeDocument/2006/relationships" r:id="R2178d1050c3a4b9d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46" hidden="0" customWidth="1"/>
  </x:cols>
  <x:sheetData>
    <x:row r="1" ht="34" customHeight="1">
      <x:c r="A1" s="3" t="str">
        <x:v>SUPUESTOS CONTROLABLES</x:v>
      </x:c>
    </x:row>
    <x:row r="2" ht="28" customHeight="1">
      <x:c r="A2" s="7" t="str">
        <x:v>Celdas azules = entradas; cambie una hipótesis y el modelo recalcula.</x:v>
      </x:c>
    </x:row>
    <x:row r="3" ht="28" customHeight="1">
      <x:c r="A3" s="12" t="str">
        <x:v>Variable</x:v>
      </x:c>
      <x:c r="B3" s="12" t="str">
        <x:v>Base</x:v>
      </x:c>
      <x:c r="C3" s="12" t="str">
        <x:v>Bajo</x:v>
      </x:c>
      <x:c r="D3" s="12" t="str">
        <x:v>Alto</x:v>
      </x:c>
      <x:c r="E3" s="12" t="str">
        <x:v>Unidad / criterio</x:v>
      </x:c>
    </x:row>
    <x:row r="4">
      <x:c r="A4" s="21" t="str">
        <x:v>Tipo de cambio</x:v>
      </x:c>
      <x:c r="B4" s="44" t="n">
        <x:v>1700</x:v>
      </x:c>
      <x:c r="C4" s="44" t="n">
        <x:v>1500</x:v>
      </x:c>
      <x:c r="D4" s="44" t="n">
        <x:v>1860</x:v>
      </x:c>
      <x:c r="E4" s="22" t="str">
        <x:v>ARS/USD; escenario, no cotización contractual</x:v>
      </x:c>
    </x:row>
    <x:row r="5">
      <x:c r="A5" s="21" t="str">
        <x:v>GVWR mínimo</x:v>
      </x:c>
      <x:c r="B5" s="44" t="n">
        <x:v>1700</x:v>
      </x:c>
      <x:c r="C5" s="44" t="n">
        <x:v>1500</x:v>
      </x:c>
      <x:c r="D5" s="44" t="n">
        <x:v>2000</x:v>
      </x:c>
      <x:c r="E5" s="22" t="str">
        <x:v>kg</x:v>
      </x:c>
    </x:row>
    <x:row r="6">
      <x:c r="A6" s="21" t="str">
        <x:v>Tara objetivo</x:v>
      </x:c>
      <x:c r="B6" s="44" t="n">
        <x:v>1150</x:v>
      </x:c>
      <x:c r="C6" s="44" t="n">
        <x:v>900</x:v>
      </x:c>
      <x:c r="D6" s="44" t="n">
        <x:v>1300</x:v>
      </x:c>
      <x:c r="E6" s="22" t="str">
        <x:v>kg; se confirma por pesaje</x:v>
      </x:c>
    </x:row>
    <x:row r="7">
      <x:c r="A7" s="21" t="str">
        <x:v>Carga útil</x:v>
      </x:c>
      <x:c r="B7" s="44" t="n">
        <x:v>500</x:v>
      </x:c>
      <x:c r="C7" s="44" t="n">
        <x:v>500</x:v>
      </x:c>
      <x:c r="D7" s="44" t="n">
        <x:v>500</x:v>
      </x:c>
      <x:c r="E7" s="22" t="str">
        <x:v>kg: piloto + DJ + 3 pasajeros + pertenencias</x:v>
      </x:c>
    </x:row>
    <x:row r="8">
      <x:c r="A8" s="21" t="str">
        <x:v>Misión</x:v>
      </x:c>
      <x:c r="B8" s="44" t="n">
        <x:v>5</x:v>
      </x:c>
      <x:c r="C8" s="44" t="n">
        <x:v>5</x:v>
      </x:c>
      <x:c r="D8" s="44" t="n">
        <x:v>5</x:v>
      </x:c>
      <x:c r="E8" s="22" t="str">
        <x:v>km por carga</x:v>
      </x:c>
    </x:row>
    <x:row r="9">
      <x:c r="A9" s="21" t="str">
        <x:v>Velocidad operativa</x:v>
      </x:c>
      <x:c r="B9" s="44" t="n">
        <x:v>5</x:v>
      </x:c>
      <x:c r="C9" s="44" t="n">
        <x:v>5</x:v>
      </x:c>
      <x:c r="D9" s="44" t="n">
        <x:v>8</x:v>
      </x:c>
      <x:c r="E9" s="22" t="str">
        <x:v>km/h; 10 km/h tope duro</x:v>
      </x:c>
    </x:row>
    <x:row r="10">
      <x:c r="A10" s="21" t="str">
        <x:v>Potencia tracción continua</x:v>
      </x:c>
      <x:c r="B10" s="44" t="n">
        <x:v>12</x:v>
      </x:c>
      <x:c r="C10" s="44" t="n">
        <x:v>10</x:v>
      </x:c>
      <x:c r="D10" s="44" t="n">
        <x:v>16</x:v>
      </x:c>
      <x:c r="E10" s="22" t="str">
        <x:v>kW; 4WD</x:v>
      </x:c>
    </x:row>
    <x:row r="11">
      <x:c r="A11" s="21" t="str">
        <x:v>Batería LFP nominal</x:v>
      </x:c>
      <x:c r="B11" s="44" t="n">
        <x:v>15</x:v>
      </x:c>
      <x:c r="C11" s="44" t="n">
        <x:v>12.8</x:v>
      </x:c>
      <x:c r="D11" s="44" t="n">
        <x:v>18</x:v>
      </x:c>
      <x:c r="E11" s="22" t="str">
        <x:v>kWh; una batería, ramas protegidas</x:v>
      </x:c>
    </x:row>
    <x:row r="12">
      <x:c r="A12" s="21" t="str">
        <x:v>Reserva SOC</x:v>
      </x:c>
      <x:c r="B12" s="46" t="n">
        <x:v>0.2</x:v>
      </x:c>
      <x:c r="C12" s="46" t="n">
        <x:v>0.2</x:v>
      </x:c>
      <x:c r="D12" s="46" t="n">
        <x:v>0.25</x:v>
      </x:c>
      <x:c r="E12" s="22" t="str">
        <x:v>%</x:v>
      </x:c>
    </x:row>
    <x:row r="13">
      <x:c r="A13" s="21" t="str">
        <x:v>Derating envejecimiento/temperatura</x:v>
      </x:c>
      <x:c r="B13" s="46" t="n">
        <x:v>0.15</x:v>
      </x:c>
      <x:c r="C13" s="46" t="n">
        <x:v>0.1</x:v>
      </x:c>
      <x:c r="D13" s="46" t="n">
        <x:v>0.2</x:v>
      </x:c>
      <x:c r="E13" s="22" t="str">
        <x:v>%</x:v>
      </x:c>
    </x:row>
    <x:row r="14">
      <x:c r="A14" s="21" t="str">
        <x:v>Audio promedio móvil</x:v>
      </x:c>
      <x:c r="B14" s="47" t="n">
        <x:v>1</x:v>
      </x:c>
      <x:c r="C14" s="47" t="n">
        <x:v>0.5</x:v>
      </x:c>
      <x:c r="D14" s="47" t="n">
        <x:v>1.45</x:v>
      </x:c>
      <x:c r="E14" s="22" t="str">
        <x:v>kW promedio; PA 1,8 kW RMS instalado</x:v>
      </x:c>
    </x:row>
    <x:row r="15">
      <x:c r="A15" s="21" t="str">
        <x:v>DJ + iluminación artística</x:v>
      </x:c>
      <x:c r="B15" s="47" t="n">
        <x:v>0.45</x:v>
      </x:c>
      <x:c r="C15" s="47" t="n">
        <x:v>0.3</x:v>
      </x:c>
      <x:c r="D15" s="47" t="n">
        <x:v>0.7</x:v>
      </x:c>
      <x:c r="E15" s="22" t="str">
        <x:v>kW promedio</x:v>
      </x:c>
    </x:row>
    <x:row r="16">
      <x:c r="A16" s="21" t="str">
        <x:v>Arancel importación</x:v>
      </x:c>
      <x:c r="B16" s="47" t="n">
        <x:v>0.18</x:v>
      </x:c>
      <x:c r="C16" s="47" t="n">
        <x:v>0</x:v>
      </x:c>
      <x:c r="D16" s="47" t="n">
        <x:v>0.35</x:v>
      </x:c>
      <x:c r="E16" s="22" t="str">
        <x:v>% del CIF; confirmar NCM</x:v>
      </x:c>
    </x:row>
    <x:row r="17">
      <x:c r="A17" s="21" t="str">
        <x:v>Tasa estadística</x:v>
      </x:c>
      <x:c r="B17" s="47" t="n">
        <x:v>0.03</x:v>
      </x:c>
      <x:c r="C17" s="47" t="n">
        <x:v>0.03</x:v>
      </x:c>
      <x:c r="D17" s="47" t="n">
        <x:v>0.03</x:v>
      </x:c>
      <x:c r="E17" s="22" t="str">
        <x:v>% del CIF</x:v>
      </x:c>
    </x:row>
    <x:row r="18">
      <x:c r="A18" s="21" t="str">
        <x:v>IVA importación</x:v>
      </x:c>
      <x:c r="B18" s="47" t="n">
        <x:v>0.21</x:v>
      </x:c>
      <x:c r="C18" s="47" t="n">
        <x:v>0.21</x:v>
      </x:c>
      <x:c r="D18" s="47" t="n">
        <x:v>0.21</x:v>
      </x:c>
      <x:c r="E18" s="22" t="str">
        <x:v>%; crédito fiscal potencial</x:v>
      </x:c>
    </x:row>
    <x:row r="19">
      <x:c r="A19" s="21" t="str">
        <x:v>Percepción IVA</x:v>
      </x:c>
      <x:c r="B19" s="47" t="n">
        <x:v>0.2</x:v>
      </x:c>
      <x:c r="C19" s="47" t="n">
        <x:v>0</x:v>
      </x:c>
      <x:c r="D19" s="47" t="n">
        <x:v>0.2</x:v>
      </x:c>
      <x:c r="E19" s="22" t="str">
        <x:v>%; confirmar condición fiscal</x:v>
      </x:c>
    </x:row>
    <x:row r="20">
      <x:c r="A20" s="21" t="str">
        <x:v>Percepción Ganancias</x:v>
      </x:c>
      <x:c r="B20" s="47" t="n">
        <x:v>0.06</x:v>
      </x:c>
      <x:c r="C20" s="47" t="n">
        <x:v>0</x:v>
      </x:c>
      <x:c r="D20" s="47" t="n">
        <x:v>0.11</x:v>
      </x:c>
      <x:c r="E20" s="22" t="str">
        <x:v>%</x:v>
      </x:c>
    </x:row>
    <x:row r="21">
      <x:c r="A21" s="21" t="str">
        <x:v>IIBB percepción</x:v>
      </x:c>
      <x:c r="B21" s="47" t="n">
        <x:v>0.025</x:v>
      </x:c>
      <x:c r="C21" s="47" t="n">
        <x:v>0</x:v>
      </x:c>
      <x:c r="D21" s="47" t="n">
        <x:v>0.04</x:v>
      </x:c>
      <x:c r="E21" s="22" t="str">
        <x:v>%; jurisdicción dependiente</x:v>
      </x:c>
    </x:row>
    <x:row r="22">
      <x:c r="A22" s="21" t="str">
        <x:v>Contingencia importados</x:v>
      </x:c>
      <x:c r="B22" s="44" t="n">
        <x:v>0.1</x:v>
      </x:c>
      <x:c r="C22" s="44" t="n">
        <x:v>0.1</x:v>
      </x:c>
      <x:c r="D22" s="44" t="n">
        <x:v>0.15</x:v>
      </x:c>
      <x:c r="E22" s="22" t="str">
        <x:v>%</x:v>
      </x:c>
    </x:row>
    <x:row r="23">
      <x:c r="A23" s="21" t="str">
        <x:v>Contingencia local</x:v>
      </x:c>
      <x:c r="B23" s="44" t="n">
        <x:v>0.2</x:v>
      </x:c>
      <x:c r="C23" s="44" t="n">
        <x:v>0.15</x:v>
      </x:c>
      <x:c r="D23" s="44" t="n">
        <x:v>0.25</x:v>
      </x:c>
      <x:c r="E23" s="22" t="str">
        <x:v>%</x:v>
      </x:c>
    </x:row>
    <x:row r="24">
      <x:c r="A24" s="21" t="str">
        <x:v>Techo de decisión neto</x:v>
      </x:c>
      <x:c r="B24" s="48" t="n">
        <x:v>68000</x:v>
      </x:c>
      <x:c r="C24" s="48" t="n">
        <x:v>48000</x:v>
      </x:c>
      <x:c r="D24" s="48" t="n">
        <x:v>85000</x:v>
      </x:c>
      <x:c r="E24" s="22" t="str">
        <x:v>USD</x:v>
      </x:c>
    </x:row>
    <x:row r="25">
      <x:c r="A25" s="23" t="str">
        <x:v>Caja máxima de decisión</x:v>
      </x:c>
      <x:c r="B25" s="49" t="n">
        <x:v>80000</x:v>
      </x:c>
      <x:c r="C25" s="49" t="n">
        <x:v>58000</x:v>
      </x:c>
      <x:c r="D25" s="49" t="n">
        <x:v>100000</x:v>
      </x:c>
      <x:c r="E25" s="24" t="str">
        <x:v>USD</x:v>
      </x:c>
    </x:row>
  </x:sheetData>
  <x:mergeCells>
    <x:mergeCell ref="A1:E1"/>
    <x:mergeCell ref="A2:E2"/>
  </x:mergeCells>
  <x:pageMargins left="0.7" right="0.7" top="0.75" bottom="0.75" header="0.3" footer="0.3"/>
  <x:legacyDrawing xmlns:r="http://schemas.openxmlformats.org/officeDocument/2006/relationships" r:id="R334b0092c1364708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6" hidden="0" customWidth="1"/>
    <x:col min="3" max="3" width="30" hidden="0" customWidth="1"/>
    <x:col min="4" max="4" width="20" hidden="0" customWidth="1"/>
    <x:col min="5" max="5" width="48" hidden="0" customWidth="1"/>
  </x:cols>
  <x:sheetData>
    <x:row r="1" ht="34" customHeight="1">
      <x:c r="A1" s="3" t="str">
        <x:v>COSTO DE IMPORTACIÓN · ESCENARIO BASE</x:v>
      </x:c>
    </x:row>
    <x:row r="2" ht="28" customHeight="1">
      <x:c r="A2" s="7" t="str">
        <x:v>El NCM puede cambiar por uso, configuración y carácter esencial. Tributos recuperables afectan caja, no costo neto.</x:v>
      </x:c>
    </x:row>
    <x:row r="3" ht="28" customHeight="1">
      <x:c r="A3" s="12" t="str">
        <x:v>Partida</x:v>
      </x:c>
      <x:c r="B3" s="12" t="str">
        <x:v>USD</x:v>
      </x:c>
      <x:c r="C3" s="12" t="str">
        <x:v>Fórmula / base</x:v>
      </x:c>
      <x:c r="D3" s="12" t="str">
        <x:v>Tratamiento</x:v>
      </x:c>
      <x:c r="E3" s="12" t="str">
        <x:v>Observación</x:v>
      </x:c>
    </x:row>
    <x:row r="4">
      <x:c r="A4" s="21" t="str">
        <x:v>Rolling chassis 4WD 12 kW</x:v>
      </x:c>
      <x:c r="B4" s="34" t="n">
        <x:v>12000</x:v>
      </x:c>
      <x:c r="C4" s="21" t="str">
        <x:v>Oferta objetivo</x:v>
      </x:c>
      <x:c r="D4" s="21" t="str">
        <x:v>FOB</x:v>
      </x:c>
      <x:c r="E4" s="22" t="str">
        <x:v>GVWR ≥1,7 t; payload estructural ≥1,1 t</x:v>
      </x:c>
    </x:row>
    <x:row r="5">
      <x:c r="A5" s="21" t="str">
        <x:v>Configuración, documentación y limitador</x:v>
      </x:c>
      <x:c r="B5" s="34" t="n">
        <x:v>900</x:v>
      </x:c>
      <x:c r="C5" s="21" t="str">
        <x:v>RFQ</x:v>
      </x:c>
      <x:c r="D5" s="21" t="str">
        <x:v>FOB</x:v>
      </x:c>
      <x:c r="E5" s="22" t="str">
        <x:v>Manual, curvas, software y parámetros</x:v>
      </x:c>
    </x:row>
    <x:row r="6">
      <x:c r="A6" s="21" t="str">
        <x:v>Repuestos críticos</x:v>
      </x:c>
      <x:c r="B6" s="34" t="n">
        <x:v>1200</x:v>
      </x:c>
      <x:c r="C6" s="21" t="str">
        <x:v>RFQ</x:v>
      </x:c>
      <x:c r="D6" s="21" t="str">
        <x:v>FOB</x:v>
      </x:c>
      <x:c r="E6" s="22" t="str">
        <x:v>Controlador, sensores, pastillas, rótulas y rodamientos</x:v>
      </x:c>
    </x:row>
    <x:row r="7">
      <x:c r="A7" s="21" t="str">
        <x:v>Inspección preembarque y embalaje</x:v>
      </x:c>
      <x:c r="B7" s="34" t="n">
        <x:v>700</x:v>
      </x:c>
      <x:c r="C7" s="21" t="str">
        <x:v>Servicio</x:v>
      </x:c>
      <x:c r="D7" s="21" t="str">
        <x:v>FOB</x:v>
      </x:c>
      <x:c r="E7" s="22" t="str">
        <x:v>Pesaje, video FAT, placa y embalaje DG</x:v>
      </x:c>
    </x:row>
    <x:row r="8">
      <x:c r="A8" s="50" t="str">
        <x:v>FOB total</x:v>
      </x:c>
      <x:c r="B8" s="51" t="n">
        <x:f>SUM(B4:B7)</x:f>
        <x:v>14800</x:v>
      </x:c>
      <x:c r="C8" s="50" t="n">
        <x:f>SUM(B4:B7)</x:f>
        <x:v>14800</x:v>
      </x:c>
      <x:c r="D8" s="50" t="str">
        <x:v>Subtotal</x:v>
      </x:c>
      <x:c r="E8" s="29" t="str"/>
    </x:row>
    <x:row r="9">
      <x:c r="A9" s="21" t="str">
        <x:v>Flete, origen, seguro y DG</x:v>
      </x:c>
      <x:c r="B9" s="34" t="n">
        <x:v>2800</x:v>
      </x:c>
      <x:c r="C9" s="21" t="str">
        <x:v>Estimación</x:v>
      </x:c>
      <x:c r="D9" s="21" t="str">
        <x:v>Hasta CIF</x:v>
      </x:c>
      <x:c r="E9" s="22" t="str">
        <x:v>Cotizar por volumen/peso real</x:v>
      </x:c>
    </x:row>
    <x:row r="10">
      <x:c r="A10" s="50" t="str">
        <x:v>CIF</x:v>
      </x:c>
      <x:c r="B10" s="51" t="n">
        <x:f>B8+B9</x:f>
        <x:v>17600</x:v>
      </x:c>
      <x:c r="C10" s="50" t="n">
        <x:f>B8+B9</x:f>
        <x:v>17600</x:v>
      </x:c>
      <x:c r="D10" s="50" t="str">
        <x:v>Base aduanera</x:v>
      </x:c>
      <x:c r="E10" s="29" t="str"/>
    </x:row>
    <x:row r="11">
      <x:c r="A11" s="21" t="str">
        <x:v>Derecho de importación</x:v>
      </x:c>
      <x:c r="B11" s="34" t="n">
        <x:f>B10*'Supuestos'!B16</x:f>
        <x:v>3168</x:v>
      </x:c>
      <x:c r="C11" s="21" t="n">
        <x:f>B10*'Supuestos'!B16</x:f>
        <x:v>3168</x:v>
      </x:c>
      <x:c r="D11" s="21" t="str">
        <x:v>Costo</x:v>
      </x:c>
      <x:c r="E11" s="22" t="str">
        <x:v>NCM escrito previo a PO</x:v>
      </x:c>
    </x:row>
    <x:row r="12">
      <x:c r="A12" s="21" t="str">
        <x:v>Tasa estadística</x:v>
      </x:c>
      <x:c r="B12" s="34" t="n">
        <x:f>B10*'Supuestos'!B17</x:f>
        <x:v>528</x:v>
      </x:c>
      <x:c r="C12" s="21" t="n">
        <x:f>B10*'Supuestos'!B17</x:f>
        <x:v>528</x:v>
      </x:c>
      <x:c r="D12" s="21" t="str">
        <x:v>Costo</x:v>
      </x:c>
      <x:c r="E12" s="22" t="str">
        <x:v>3% supuesto</x:v>
      </x:c>
    </x:row>
    <x:row r="13">
      <x:c r="A13" s="21" t="str">
        <x:v>Terminal, despachante e inland</x:v>
      </x:c>
      <x:c r="B13" s="34" t="n">
        <x:v>2800</x:v>
      </x:c>
      <x:c r="C13" s="21" t="str">
        <x:v>Estimación</x:v>
      </x:c>
      <x:c r="D13" s="21" t="str">
        <x:v>Costo</x:v>
      </x:c>
      <x:c r="E13" s="22" t="str">
        <x:v>No incluye demoras</x:v>
      </x:c>
    </x:row>
    <x:row r="14">
      <x:c r="A14" s="39" t="str">
        <x:v>Importado puesto en taller · neto</x:v>
      </x:c>
      <x:c r="B14" s="54" t="n">
        <x:f>SUM(B10:B13)</x:f>
        <x:v>24096</x:v>
      </x:c>
      <x:c r="C14" s="39" t="n">
        <x:f>SUM(B10:B13)</x:f>
        <x:v>24096</x:v>
      </x:c>
      <x:c r="D14" s="39" t="str">
        <x:v>Costo neto</x:v>
      </x:c>
      <x:c r="E14" s="55" t="str">
        <x:v>Antes de contingencia</x:v>
      </x:c>
    </x:row>
    <x:row r="15">
      <x:c r="A15" s="21" t="str">
        <x:v>Base tributaria estimada</x:v>
      </x:c>
      <x:c r="B15" s="34" t="n">
        <x:f>SUM(B10:B12)</x:f>
        <x:v>21296</x:v>
      </x:c>
      <x:c r="C15" s="21" t="n">
        <x:f>SUM(B10:B12)</x:f>
        <x:v>21296</x:v>
      </x:c>
      <x:c r="D15" s="21" t="str">
        <x:v>Caja</x:v>
      </x:c>
      <x:c r="E15" s="22" t="str">
        <x:v>Simplificación de prefactibilidad</x:v>
      </x:c>
    </x:row>
    <x:row r="16">
      <x:c r="A16" s="21" t="str">
        <x:v>IVA</x:v>
      </x:c>
      <x:c r="B16" s="34" t="n">
        <x:f>B15*'Supuestos'!B18</x:f>
        <x:v>4472.16</x:v>
      </x:c>
      <x:c r="C16" s="21" t="n">
        <x:f>B15*'Supuestos'!B18</x:f>
        <x:v>4472.16</x:v>
      </x:c>
      <x:c r="D16" s="21" t="str">
        <x:v>Crédito potencial</x:v>
      </x:c>
      <x:c r="E16" s="22" t="str">
        <x:v>Validar situación fiscal</x:v>
      </x:c>
    </x:row>
    <x:row r="17">
      <x:c r="A17" s="21" t="str">
        <x:v>Percepción IVA</x:v>
      </x:c>
      <x:c r="B17" s="34" t="n">
        <x:f>B15*'Supuestos'!B19</x:f>
        <x:v>4259.2</x:v>
      </x:c>
      <x:c r="C17" s="21" t="n">
        <x:f>B15*'Supuestos'!B19</x:f>
        <x:v>4259.2</x:v>
      </x:c>
      <x:c r="D17" s="21" t="str">
        <x:v>Crédito potencial</x:v>
      </x:c>
      <x:c r="E17" s="22" t="str">
        <x:v>Puede haber exclusiones</x:v>
      </x:c>
    </x:row>
    <x:row r="18">
      <x:c r="A18" s="21" t="str">
        <x:v>Percepción Ganancias</x:v>
      </x:c>
      <x:c r="B18" s="34" t="n">
        <x:f>B15*'Supuestos'!B20</x:f>
        <x:v>1277.76</x:v>
      </x:c>
      <x:c r="C18" s="21" t="n">
        <x:f>B15*'Supuestos'!B20</x:f>
        <x:v>1277.76</x:v>
      </x:c>
      <x:c r="D18" s="21" t="str">
        <x:v>Crédito potencial</x:v>
      </x:c>
      <x:c r="E18" s="22" t="str"/>
    </x:row>
    <x:row r="19">
      <x:c r="A19" s="21" t="str">
        <x:v>Percepción IIBB</x:v>
      </x:c>
      <x:c r="B19" s="34" t="n">
        <x:f>B15*'Supuestos'!B21</x:f>
        <x:v>532.4</x:v>
      </x:c>
      <x:c r="C19" s="21" t="n">
        <x:f>B15*'Supuestos'!B21</x:f>
        <x:v>532.4</x:v>
      </x:c>
      <x:c r="D19" s="21" t="str">
        <x:v>Crédito potencial</x:v>
      </x:c>
      <x:c r="E19" s="22" t="str">
        <x:v>Jurisdicción dependiente</x:v>
      </x:c>
    </x:row>
    <x:row r="20">
      <x:c r="A20" s="62" t="str">
        <x:v>Caja tributaria recuperable</x:v>
      </x:c>
      <x:c r="B20" s="63" t="n">
        <x:f>SUM(B16:B19)</x:f>
        <x:v>10541.52</x:v>
      </x:c>
      <x:c r="C20" s="62" t="n">
        <x:f>SUM(B16:B19)</x:f>
        <x:v>10541.52</x:v>
      </x:c>
      <x:c r="D20" s="62" t="str">
        <x:v>Caja</x:v>
      </x:c>
      <x:c r="E20" s="64" t="str">
        <x:v>No tratar como costo sin asesor fiscal</x:v>
      </x:c>
    </x:row>
    <x:row r="21">
      <x:c r="A21" s="65" t="str">
        <x:v>Caja importado puesto en taller</x:v>
      </x:c>
      <x:c r="B21" s="66" t="n">
        <x:f>B14+B20</x:f>
        <x:v>34637.520000000004</x:v>
      </x:c>
      <x:c r="C21" s="65" t="n">
        <x:f>B14+B20</x:f>
        <x:v>34637.520000000004</x:v>
      </x:c>
      <x:c r="D21" s="65" t="str">
        <x:v>Caja</x:v>
      </x:c>
      <x:c r="E21" s="67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  <x:col min="6" max="6" width="48" hidden="0" customWidth="1"/>
  </x:cols>
  <x:sheetData>
    <x:row r="1" ht="34" customHeight="1">
      <x:c r="A1" s="3" t="str">
        <x:v>CAPEX · DETALLE LOCAL E INTEGRADO</x:v>
      </x:c>
    </x:row>
    <x:row r="2" ht="28" customHeight="1">
      <x:c r="A2" s="7" t="str">
        <x:v>Rangos antes de IVA local. El audio recomendado es compacto, direccional y limitado; no es un PA de festival.</x:v>
      </x:c>
    </x:row>
    <x:row r="3" ht="28" customHeight="1">
      <x:c r="A3" s="12" t="str">
        <x:v>Sistema</x:v>
      </x:c>
      <x:c r="B3" s="12" t="str">
        <x:v>Bajo</x:v>
      </x:c>
      <x:c r="C3" s="12" t="str">
        <x:v>Base</x:v>
      </x:c>
      <x:c r="D3" s="12" t="str">
        <x:v>Alto</x:v>
      </x:c>
      <x:c r="E3" s="12" t="str">
        <x:v>Origen preferido</x:v>
      </x:c>
      <x:c r="F3" s="12" t="str">
        <x:v>Alcance</x:v>
      </x:c>
    </x:row>
    <x:row r="4">
      <x:c r="A4" s="21" t="str">
        <x:v>Importado puesto en taller</x:v>
      </x:c>
      <x:c r="B4" s="34" t="n">
        <x:v>13000</x:v>
      </x:c>
      <x:c r="C4" s="34" t="n">
        <x:f>'Importación'!B14</x:f>
        <x:v>24096</x:v>
      </x:c>
      <x:c r="D4" s="34" t="n">
        <x:v>33000</x:v>
      </x:c>
      <x:c r="E4" s="21" t="str">
        <x:v>China + Argentina</x:v>
      </x:c>
      <x:c r="F4" s="22" t="str">
        <x:v>Ver hoja Importación</x:v>
      </x:c>
    </x:row>
    <x:row r="5">
      <x:c r="A5" s="21" t="str">
        <x:v>Subchasis, piso y soportes</x:v>
      </x:c>
      <x:c r="B5" s="34" t="n">
        <x:v>3000</x:v>
      </x:c>
      <x:c r="C5" s="34" t="n">
        <x:v>4200</x:v>
      </x:c>
      <x:c r="D5" s="34" t="n">
        <x:v>6500</x:v>
      </x:c>
      <x:c r="E5" s="21" t="str">
        <x:v>Argentina</x:v>
      </x:c>
      <x:c r="F5" s="22" t="str">
        <x:v>Acero local y mecanizado</x:v>
      </x:c>
    </x:row>
    <x:row r="6">
      <x:c r="A6" s="21" t="str">
        <x:v>Caparazón radical modular</x:v>
      </x:c>
      <x:c r="B6" s="34" t="n">
        <x:v>2200</x:v>
      </x:c>
      <x:c r="C6" s="34" t="n">
        <x:v>3500</x:v>
      </x:c>
      <x:c r="D6" s="34" t="n">
        <x:v>6000</x:v>
      </x:c>
      <x:c r="E6" s="21" t="str">
        <x:v>Argentina</x:v>
      </x:c>
      <x:c r="F6" s="22" t="str">
        <x:v>Panel perforado, costillas y registros</x:v>
      </x:c>
    </x:row>
    <x:row r="7">
      <x:c r="A7" s="21" t="str">
        <x:v>Asientos, barandas, puertas y acceso</x:v>
      </x:c>
      <x:c r="B7" s="34" t="n">
        <x:v>1600</x:v>
      </x:c>
      <x:c r="C7" s="34" t="n">
        <x:v>2500</x:v>
      </x:c>
      <x:c r="D7" s="34" t="n">
        <x:v>4000</x:v>
      </x:c>
      <x:c r="E7" s="21" t="str">
        <x:v>Argentina</x:v>
      </x:c>
      <x:c r="F7" s="22" t="str">
        <x:v>5 ocupantes totales</x:v>
      </x:c>
    </x:row>
    <x:row r="8">
      <x:c r="A8" s="21" t="str">
        <x:v>Seguridad LV, E-stops y comunicaciones</x:v>
      </x:c>
      <x:c r="B8" s="34" t="n">
        <x:v>1100</x:v>
      </x:c>
      <x:c r="C8" s="34" t="n">
        <x:v>1600</x:v>
      </x:c>
      <x:c r="D8" s="34" t="n">
        <x:v>2500</x:v>
      </x:c>
      <x:c r="E8" s="21" t="str">
        <x:v>Argentina</x:v>
      </x:c>
      <x:c r="F8" s="22" t="str">
        <x:v>Separado de arte/audio</x:v>
      </x:c>
    </x:row>
    <x:row r="9">
      <x:c r="A9" s="21" t="str">
        <x:v>Iluminación funcional y artística</x:v>
      </x:c>
      <x:c r="B9" s="34" t="n">
        <x:v>800</x:v>
      </x:c>
      <x:c r="C9" s="34" t="n">
        <x:v>1200</x:v>
      </x:c>
      <x:c r="D9" s="34" t="n">
        <x:v>2200</x:v>
      </x:c>
      <x:c r="E9" s="21" t="str">
        <x:v>Mixto</x:v>
      </x:c>
      <x:c r="F9" s="22" t="str">
        <x:v>360°, perímetro y control</x:v>
      </x:c>
    </x:row>
    <x:row r="10">
      <x:c r="A10" s="21" t="str">
        <x:v>PA, DJ, DSP y medición</x:v>
      </x:c>
      <x:c r="B10" s="34" t="n">
        <x:v>5000</x:v>
      </x:c>
      <x:c r="C10" s="34" t="n">
        <x:v>7500</x:v>
      </x:c>
      <x:c r="D10" s="34" t="n">
        <x:v>11500</x:v>
      </x:c>
      <x:c r="E10" s="21" t="str">
        <x:v>Argentina</x:v>
      </x:c>
      <x:c r="F10" s="22" t="str">
        <x:v>1,8 kW RMS instalado; 1 kW promedio</x:v>
      </x:c>
    </x:row>
    <x:row r="11">
      <x:c r="A11" s="21" t="str">
        <x:v>Inversor, rack y distribución 230 V</x:v>
      </x:c>
      <x:c r="B11" s="34" t="n">
        <x:v>1500</x:v>
      </x:c>
      <x:c r="C11" s="34" t="n">
        <x:v>2500</x:v>
      </x:c>
      <x:c r="D11" s="34" t="n">
        <x:v>4200</x:v>
      </x:c>
      <x:c r="E11" s="21" t="str">
        <x:v>Argentina</x:v>
      </x:c>
      <x:c r="F11" s="22" t="str">
        <x:v>Senoidal, RCD, IP54/IP65</x:v>
      </x:c>
    </x:row>
    <x:row r="12">
      <x:c r="A12" s="21" t="str">
        <x:v>Ingeniería eléctrica y EMC</x:v>
      </x:c>
      <x:c r="B12" s="34" t="n">
        <x:v>700</x:v>
      </x:c>
      <x:c r="C12" s="34" t="n">
        <x:v>1250</x:v>
      </x:c>
      <x:c r="D12" s="34" t="n">
        <x:v>2400</x:v>
      </x:c>
      <x:c r="E12" s="21" t="str">
        <x:v>Argentina</x:v>
      </x:c>
      <x:c r="F12" s="22" t="str">
        <x:v>Diseño, pruebas y legajo</x:v>
      </x:c>
    </x:row>
    <x:row r="13">
      <x:c r="A13" s="21" t="str">
        <x:v>Ingeniería, fabricación y ensayos</x:v>
      </x:c>
      <x:c r="B13" s="34" t="n">
        <x:v>5000</x:v>
      </x:c>
      <x:c r="C13" s="34" t="n">
        <x:v>8500</x:v>
      </x:c>
      <x:c r="D13" s="34" t="n">
        <x:v>13500</x:v>
      </x:c>
      <x:c r="E13" s="21" t="str">
        <x:v>Argentina</x:v>
      </x:c>
      <x:c r="F13" s="22" t="str">
        <x:v>Mecánica, soldadura, pruebas a GVWR</x:v>
      </x:c>
    </x:row>
    <x:row r="14">
      <x:c r="A14" s="21" t="str">
        <x:v>Terminación, fijaciones y recuperación</x:v>
      </x:c>
      <x:c r="B14" s="34" t="n">
        <x:v>900</x:v>
      </x:c>
      <x:c r="C14" s="34" t="n">
        <x:v>1600</x:v>
      </x:c>
      <x:c r="D14" s="34" t="n">
        <x:v>2800</x:v>
      </x:c>
      <x:c r="E14" s="21" t="str">
        <x:v>Argentina</x:v>
      </x:c>
      <x:c r="F14" s="22" t="str">
        <x:v>Pintura, tethers, eslingas y placas</x:v>
      </x:c>
    </x:row>
    <x:row r="15">
      <x:c r="A15" s="62" t="str">
        <x:v>Subtotal antes de contingencia</x:v>
      </x:c>
      <x:c r="B15" s="63" t="n">
        <x:f>SUM(B4:B14)</x:f>
        <x:v>34800</x:v>
      </x:c>
      <x:c r="C15" s="63" t="n">
        <x:f>SUM(C4:C14)</x:f>
        <x:v>58446</x:v>
      </x:c>
      <x:c r="D15" s="63" t="n">
        <x:f>SUM(D4:D14)</x:f>
        <x:v>88600</x:v>
      </x:c>
      <x:c r="E15" s="62" t="str"/>
      <x:c r="F15" s="64" t="str"/>
    </x:row>
    <x:row r="16">
      <x:c r="A16" s="62" t="str">
        <x:v>Contingencia</x:v>
      </x:c>
      <x:c r="B16" s="63" t="n">
        <x:f>B4*10%+SUM(B5:B14)*15%</x:f>
        <x:v>4570</x:v>
      </x:c>
      <x:c r="C16" s="63" t="n">
        <x:f>C4*'Supuestos'!B22+SUM(C5:C14)*'Supuestos'!B23</x:f>
        <x:v>9279.6</x:v>
      </x:c>
      <x:c r="D16" s="63" t="n">
        <x:f>D4*15%+SUM(D5:D14)*25%</x:f>
        <x:v>18850</x:v>
      </x:c>
      <x:c r="E16" s="62" t="str"/>
      <x:c r="F16" s="64" t="str">
        <x:v>10% importado + 20% local en base</x:v>
      </x:c>
    </x:row>
    <x:row r="17">
      <x:c r="A17" s="68" t="str">
        <x:v>CAPEX neto</x:v>
      </x:c>
      <x:c r="B17" s="69" t="n">
        <x:f>B15+B16</x:f>
        <x:v>39370</x:v>
      </x:c>
      <x:c r="C17" s="69" t="n">
        <x:f>C15+C16</x:f>
        <x:v>67725.6</x:v>
      </x:c>
      <x:c r="D17" s="69" t="n">
        <x:f>D15+D16</x:f>
        <x:v>107450</x:v>
      </x:c>
      <x:c r="E17" s="68" t="str"/>
      <x:c r="F17" s="70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</x:cols>
  <x:sheetData>
    <x:row r="1" ht="34" customHeight="1">
      <x:c r="A1" s="3" t="str">
        <x:v>ESCENARIOS DE INVERSIÓN</x:v>
      </x:c>
    </x:row>
    <x:row r="2" ht="28" customHeight="1">
      <x:c r="A2" s="7" t="str">
        <x:v>Las columnas de cálculo distinguen costo neto de necesidad de caja.</x:v>
      </x:c>
    </x:row>
    <x:row r="4" ht="28" customHeight="1">
      <x:c r="A4" s="12" t="str">
        <x:v>Escenario</x:v>
      </x:c>
      <x:c r="B4" s="12" t="str">
        <x:v>FOB</x:v>
      </x:c>
      <x:c r="C4" s="12" t="str">
        <x:v>Flete/CIF</x:v>
      </x:c>
      <x:c r="D4" s="12" t="str">
        <x:v>Arancel</x:v>
      </x:c>
      <x:c r="E4" s="12" t="str">
        <x:v>Destino</x:v>
      </x:c>
      <x:c r="F4" s="12" t="str">
        <x:v>Local</x:v>
      </x:c>
      <x:c r="G4" s="12" t="str">
        <x:v>Cont. imp.</x:v>
      </x:c>
      <x:c r="H4" s="12" t="str">
        <x:v>Cont. local</x:v>
      </x:c>
      <x:c r="I4" s="12" t="str">
        <x:v>CIF</x:v>
      </x:c>
      <x:c r="J4" s="12" t="str">
        <x:v>Derecho</x:v>
      </x:c>
      <x:c r="K4" s="12" t="str">
        <x:v>Estadística</x:v>
      </x:c>
      <x:c r="L4" s="12" t="str">
        <x:v>Neto import.</x:v>
      </x:c>
      <x:c r="M4" s="12" t="str">
        <x:v>CAPEX neto</x:v>
      </x:c>
      <x:c r="N4" s="12" t="str">
        <x:v>Tributos recup.</x:v>
      </x:c>
      <x:c r="O4" s="12" t="str">
        <x:v>Caja</x:v>
      </x:c>
      <x:c r="P4" s="12" t="str">
        <x:v>Caja ARS base</x:v>
      </x:c>
    </x:row>
    <x:row r="5">
      <x:c r="A5" s="21" t="str">
        <x:v>Económico</x:v>
      </x:c>
      <x:c r="B5" s="34" t="n">
        <x:v>10000</x:v>
      </x:c>
      <x:c r="C5" s="34" t="n">
        <x:v>1800</x:v>
      </x:c>
      <x:c r="D5" s="71" t="n">
        <x:v>0.14</x:v>
      </x:c>
      <x:c r="E5" s="34" t="n">
        <x:v>1800</x:v>
      </x:c>
      <x:c r="F5" s="34" t="n">
        <x:v>23000</x:v>
      </x:c>
      <x:c r="G5" s="71" t="n">
        <x:v>0.1</x:v>
      </x:c>
      <x:c r="H5" s="71" t="n">
        <x:v>0.15</x:v>
      </x:c>
      <x:c r="I5" s="34" t="n">
        <x:f>B5+C5</x:f>
        <x:v>11800</x:v>
      </x:c>
      <x:c r="J5" s="34" t="n">
        <x:f>I5*D5</x:f>
        <x:v>1652.0000000000002</x:v>
      </x:c>
      <x:c r="K5" s="34" t="n">
        <x:f>I5*'Supuestos'!B17</x:f>
        <x:v>354</x:v>
      </x:c>
      <x:c r="L5" s="34" t="n">
        <x:f>SUM(I5:K5)+E5</x:f>
        <x:v>15606</x:v>
      </x:c>
      <x:c r="M5" s="34" t="n">
        <x:f>L5*(1+G5)+F5*(1+H5)</x:f>
        <x:v>43616.6</x:v>
      </x:c>
      <x:c r="N5" s="34" t="n">
        <x:f>(I5+J5+K5)*SUM('Supuestos'!B18:B21)</x:f>
        <x:v>6833.97</x:v>
      </x:c>
      <x:c r="O5" s="34" t="n">
        <x:f>M5+N5</x:f>
        <x:v>50450.57</x:v>
      </x:c>
      <x:c r="P5" s="26" t="n">
        <x:f>O5*'Supuestos'!B4</x:f>
        <x:v>85765969</x:v>
      </x:c>
    </x:row>
    <x:row r="6">
      <x:c r="A6" s="38" t="str">
        <x:v>Recomendado</x:v>
      </x:c>
      <x:c r="B6" s="52" t="n">
        <x:v>14800</x:v>
      </x:c>
      <x:c r="C6" s="52" t="n">
        <x:v>2800</x:v>
      </x:c>
      <x:c r="D6" s="74" t="n">
        <x:v>0.18</x:v>
      </x:c>
      <x:c r="E6" s="52" t="n">
        <x:v>2800</x:v>
      </x:c>
      <x:c r="F6" s="52" t="n">
        <x:v>32850</x:v>
      </x:c>
      <x:c r="G6" s="74" t="n">
        <x:v>0.1</x:v>
      </x:c>
      <x:c r="H6" s="74" t="n">
        <x:v>0.2</x:v>
      </x:c>
      <x:c r="I6" s="52" t="n">
        <x:f>B6+C6</x:f>
        <x:v>17600</x:v>
      </x:c>
      <x:c r="J6" s="52" t="n">
        <x:f>I6*D6</x:f>
        <x:v>3168</x:v>
      </x:c>
      <x:c r="K6" s="52" t="n">
        <x:f>I6*'Supuestos'!B17</x:f>
        <x:v>528</x:v>
      </x:c>
      <x:c r="L6" s="52" t="n">
        <x:f>SUM(I6:K6)+E6</x:f>
        <x:v>24096</x:v>
      </x:c>
      <x:c r="M6" s="52" t="n">
        <x:f>L6*(1+G6)+F6*(1+H6)</x:f>
        <x:v>65925.6</x:v>
      </x:c>
      <x:c r="N6" s="52" t="n">
        <x:f>(I6+J6+K6)*SUM('Supuestos'!B18:B21)</x:f>
        <x:v>10541.52</x:v>
      </x:c>
      <x:c r="O6" s="52" t="n">
        <x:f>M6+N6</x:f>
        <x:v>76467.12000000001</x:v>
      </x:c>
      <x:c r="P6" s="75" t="n">
        <x:f>O6*'Supuestos'!B4</x:f>
        <x:v>129994104.00000001</x:v>
      </x:c>
    </x:row>
    <x:row r="7">
      <x:c r="A7" s="21" t="str">
        <x:v>Estrés</x:v>
      </x:c>
      <x:c r="B7" s="34" t="n">
        <x:v>18000</x:v>
      </x:c>
      <x:c r="C7" s="34" t="n">
        <x:v>5000</x:v>
      </x:c>
      <x:c r="D7" s="71" t="n">
        <x:v>0.35</x:v>
      </x:c>
      <x:c r="E7" s="34" t="n">
        <x:v>4000</x:v>
      </x:c>
      <x:c r="F7" s="34" t="n">
        <x:v>42000</x:v>
      </x:c>
      <x:c r="G7" s="71" t="n">
        <x:v>0.15</x:v>
      </x:c>
      <x:c r="H7" s="71" t="n">
        <x:v>0.25</x:v>
      </x:c>
      <x:c r="I7" s="34" t="n">
        <x:f>B7+C7</x:f>
        <x:v>23000</x:v>
      </x:c>
      <x:c r="J7" s="34" t="n">
        <x:f>I7*D7</x:f>
        <x:v>8049.999999999999</x:v>
      </x:c>
      <x:c r="K7" s="34" t="n">
        <x:f>I7*'Supuestos'!B17</x:f>
        <x:v>690</x:v>
      </x:c>
      <x:c r="L7" s="34" t="n">
        <x:f>SUM(I7:K7)+E7</x:f>
        <x:v>35740</x:v>
      </x:c>
      <x:c r="M7" s="34" t="n">
        <x:f>L7*(1+G7)+F7*(1+H7)</x:f>
        <x:v>93601</x:v>
      </x:c>
      <x:c r="N7" s="34" t="n">
        <x:f>(I7+J7+K7)*SUM('Supuestos'!B18:B21)</x:f>
        <x:v>15711.300000000001</x:v>
      </x:c>
      <x:c r="O7" s="34" t="n">
        <x:f>M7+N7</x:f>
        <x:v>109312.3</x:v>
      </x:c>
      <x:c r="P7" s="26" t="n">
        <x:f>O7*'Supuestos'!B4</x:f>
        <x:v>185830910</x:v>
      </x:c>
    </x:row>
    <x:row r="8">
      <x:c r="A8" s="23" t="str">
        <x:v>Orugas</x:v>
      </x:c>
      <x:c r="B8" s="35" t="n">
        <x:v>7000</x:v>
      </x:c>
      <x:c r="C8" s="35" t="n">
        <x:v>4000</x:v>
      </x:c>
      <x:c r="D8" s="72" t="n">
        <x:v>0.18</x:v>
      </x:c>
      <x:c r="E8" s="35" t="n">
        <x:v>3000</x:v>
      </x:c>
      <x:c r="F8" s="35" t="n">
        <x:v>36000</x:v>
      </x:c>
      <x:c r="G8" s="72" t="n">
        <x:v>0.15</x:v>
      </x:c>
      <x:c r="H8" s="72" t="n">
        <x:v>0.25</x:v>
      </x:c>
      <x:c r="I8" s="35" t="n">
        <x:f>B8+C8</x:f>
        <x:v>11000</x:v>
      </x:c>
      <x:c r="J8" s="35" t="n">
        <x:f>I8*D8</x:f>
        <x:v>1980</x:v>
      </x:c>
      <x:c r="K8" s="35" t="n">
        <x:f>I8*'Supuestos'!B17</x:f>
        <x:v>330</x:v>
      </x:c>
      <x:c r="L8" s="35" t="n">
        <x:f>SUM(I8:K8)+E8</x:f>
        <x:v>16310</x:v>
      </x:c>
      <x:c r="M8" s="35" t="n">
        <x:f>L8*(1+G8)+F8*(1+H8)</x:f>
        <x:v>63756.5</x:v>
      </x:c>
      <x:c r="N8" s="35" t="n">
        <x:f>(I8+J8+K8)*SUM('Supuestos'!B18:B21)</x:f>
        <x:v>6588.450000000001</x:v>
      </x:c>
      <x:c r="O8" s="35" t="n">
        <x:f>M8+N8</x:f>
        <x:v>70344.95</x:v>
      </x:c>
      <x:c r="P8" s="73" t="n">
        <x:f>O8*'Supuestos'!B4</x:f>
        <x:v>119586415</x:v>
      </x:c>
    </x:row>
    <x:row r="11">
      <x:c r="I11" s="78" t="str">
        <x:v>Interpretación
Económico: requiere fuerte trabajo voluntario y aceptar menor reserva.
Recomendado: especificación que conserva 500 kg útiles y audio DJ real.
Estrés: arancel 35%, fabricación contratada y mayores contingencias.
Orugas: el precio de compra engaña; integración, peso, transporte y seguridad elevan el total.</x:v>
      </x:c>
    </x:row>
  </x:sheetData>
  <x:mergeCells>
    <x:mergeCell ref="A1:P1"/>
    <x:mergeCell ref="A2:P2"/>
    <x:mergeCell ref="I11:P17"/>
  </x:mergeCells>
  <x:pageMargins left="0.7" right="0.7" top="0.75" bottom="0.75" header="0.3" footer="0.3"/>
  <x:drawing xmlns:r="http://schemas.openxmlformats.org/officeDocument/2006/relationships" r:id="Rf2c9f1a47305461d"/>
</x:worksheet>
</file>

<file path=xl/worksheets/sheet6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44" hidden="0" customWidth="1"/>
  </x:cols>
  <x:sheetData>
    <x:row r="1" ht="34" customHeight="1">
      <x:c r="A1" s="3" t="str">
        <x:v>COSTO OPERATIVO</x:v>
      </x:c>
    </x:row>
    <x:row r="2" ht="28" customHeight="1">
      <x:c r="A2" s="7" t="str">
        <x:v>No incluye honorarios artísticos ni viaje internacional.</x:v>
      </x:c>
    </x:row>
    <x:row r="3" ht="28" customHeight="1">
      <x:c r="A3" s="12" t="str">
        <x:v>Partida por evento</x:v>
      </x:c>
      <x:c r="B3" s="12" t="str">
        <x:v>Bajo</x:v>
      </x:c>
      <x:c r="C3" s="12" t="str">
        <x:v>Base</x:v>
      </x:c>
      <x:c r="D3" s="12" t="str">
        <x:v>Alto</x:v>
      </x:c>
      <x:c r="E3" s="12" t="str">
        <x:v>Frecuencia</x:v>
      </x:c>
      <x:c r="F3" s="12" t="str">
        <x:v>Notas</x:v>
      </x:c>
    </x:row>
    <x:row r="4">
      <x:c r="A4" s="21" t="str">
        <x:v>Transporte y carga</x:v>
      </x:c>
      <x:c r="B4" s="34" t="n">
        <x:v>500</x:v>
      </x:c>
      <x:c r="C4" s="34" t="n">
        <x:v>1000</x:v>
      </x:c>
      <x:c r="D4" s="34" t="n">
        <x:v>1800</x:v>
      </x:c>
      <x:c r="E4" s="21" t="str">
        <x:v>evento</x:v>
      </x:c>
      <x:c r="F4" s="22" t="str">
        <x:v>Trailer/camión; arte desmontado</x:v>
      </x:c>
    </x:row>
    <x:row r="5">
      <x:c r="A5" s="21" t="str">
        <x:v>Inspección, seguro y permisos</x:v>
      </x:c>
      <x:c r="B5" s="34" t="n">
        <x:v>200</x:v>
      </x:c>
      <x:c r="C5" s="34" t="n">
        <x:v>600</x:v>
      </x:c>
      <x:c r="D5" s="34" t="n">
        <x:v>1200</x:v>
      </x:c>
      <x:c r="E5" s="21" t="str">
        <x:v>evento</x:v>
      </x:c>
      <x:c r="F5" s="22" t="str">
        <x:v>Depende del predio</x:v>
      </x:c>
    </x:row>
    <x:row r="6">
      <x:c r="A6" s="21" t="str">
        <x:v>Técnico de sonido / DJ</x:v>
      </x:c>
      <x:c r="B6" s="34" t="n">
        <x:v>250</x:v>
      </x:c>
      <x:c r="C6" s="34" t="n">
        <x:v>700</x:v>
      </x:c>
      <x:c r="D6" s="34" t="n">
        <x:v>1500</x:v>
      </x:c>
      <x:c r="E6" s="21" t="str">
        <x:v>evento</x:v>
      </x:c>
      <x:c r="F6" s="22" t="str">
        <x:v>Puede ser voluntario</x:v>
      </x:c>
    </x:row>
    <x:row r="7">
      <x:c r="A7" s="21" t="str">
        <x:v>Mantenimiento neumáticos/frenos</x:v>
      </x:c>
      <x:c r="B7" s="34" t="n">
        <x:v>250</x:v>
      </x:c>
      <x:c r="C7" s="34" t="n">
        <x:v>450</x:v>
      </x:c>
      <x:c r="D7" s="34" t="n">
        <x:v>800</x:v>
      </x:c>
      <x:c r="E7" s="21" t="str">
        <x:v>evento</x:v>
      </x:c>
      <x:c r="F7" s="22" t="str">
        <x:v>Reserva de desgaste</x:v>
      </x:c>
    </x:row>
    <x:row r="8">
      <x:c r="A8" s="21" t="str">
        <x:v>Limpieza y consumibles</x:v>
      </x:c>
      <x:c r="B8" s="34" t="n">
        <x:v>100</x:v>
      </x:c>
      <x:c r="C8" s="34" t="n">
        <x:v>220</x:v>
      </x:c>
      <x:c r="D8" s="34" t="n">
        <x:v>400</x:v>
      </x:c>
      <x:c r="E8" s="21" t="str">
        <x:v>evento</x:v>
      </x:c>
      <x:c r="F8" s="22" t="str">
        <x:v>Barro y polvo</x:v>
      </x:c>
    </x:row>
    <x:row r="9">
      <x:c r="A9" s="21" t="str">
        <x:v>Electricidad de carga</x:v>
      </x:c>
      <x:c r="B9" s="34" t="n">
        <x:v>15</x:v>
      </x:c>
      <x:c r="C9" s="34" t="n">
        <x:v>30</x:v>
      </x:c>
      <x:c r="D9" s="34" t="n">
        <x:v>60</x:v>
      </x:c>
      <x:c r="E9" s="21" t="str">
        <x:v>evento</x:v>
      </x:c>
      <x:c r="F9" s="22" t="str">
        <x:v>Energía menor; logística mayor</x:v>
      </x:c>
    </x:row>
    <x:row r="10">
      <x:c r="A10" s="21" t="str">
        <x:v>Radios, EPP y protección auditiva</x:v>
      </x:c>
      <x:c r="B10" s="34" t="n">
        <x:v>80</x:v>
      </x:c>
      <x:c r="C10" s="34" t="n">
        <x:v>160</x:v>
      </x:c>
      <x:c r="D10" s="34" t="n">
        <x:v>300</x:v>
      </x:c>
      <x:c r="E10" s="21" t="str">
        <x:v>evento</x:v>
      </x:c>
      <x:c r="F10" s="22" t="str">
        <x:v>Tripulación</x:v>
      </x:c>
    </x:row>
    <x:row r="11">
      <x:c r="A11" s="21" t="str">
        <x:v>Contingencia operativa</x:v>
      </x:c>
      <x:c r="B11" s="34" t="n">
        <x:v>100</x:v>
      </x:c>
      <x:c r="C11" s="34" t="n">
        <x:v>250</x:v>
      </x:c>
      <x:c r="D11" s="34" t="n">
        <x:v>500</x:v>
      </x:c>
      <x:c r="E11" s="21" t="str">
        <x:v>evento</x:v>
      </x:c>
      <x:c r="F11" s="22" t="str"/>
    </x:row>
    <x:row r="12">
      <x:c r="A12" s="39" t="str">
        <x:v>OPEX por evento</x:v>
      </x:c>
      <x:c r="B12" s="54" t="n">
        <x:f>SUM(B4:B11)</x:f>
        <x:v>1495</x:v>
      </x:c>
      <x:c r="C12" s="54" t="n">
        <x:f>SUM(C4:C11)</x:f>
        <x:v>3410</x:v>
      </x:c>
      <x:c r="D12" s="54" t="n">
        <x:f>SUM(D4:D11)</x:f>
        <x:v>6560</x:v>
      </x:c>
      <x:c r="E12" s="39" t="str"/>
      <x:c r="F12" s="55" t="str"/>
    </x:row>
    <x:row r="13">
      <x:c r="A13" s="21" t="str">
        <x:v>Almacenaje anual</x:v>
      </x:c>
      <x:c r="B13" s="34" t="n">
        <x:v>600</x:v>
      </x:c>
      <x:c r="C13" s="34" t="n">
        <x:v>1200</x:v>
      </x:c>
      <x:c r="D13" s="34" t="n">
        <x:v>2400</x:v>
      </x:c>
      <x:c r="E13" s="21" t="str">
        <x:v>año</x:v>
      </x:c>
      <x:c r="F13" s="22" t="str">
        <x:v>Seco y seguro</x:v>
      </x:c>
    </x:row>
    <x:row r="14">
      <x:c r="A14" s="23" t="str">
        <x:v>Reserva batería y preventivo anual</x:v>
      </x:c>
      <x:c r="B14" s="35" t="n">
        <x:v>600</x:v>
      </x:c>
      <x:c r="C14" s="35" t="n">
        <x:v>1200</x:v>
      </x:c>
      <x:c r="D14" s="35" t="n">
        <x:v>2200</x:v>
      </x:c>
      <x:c r="E14" s="23" t="str">
        <x:v>año</x:v>
      </x:c>
      <x:c r="F14" s="24" t="str">
        <x:v>Ensayo + reemplazos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PRESUPUESTO DE MASA Y ENERGÍA</x:v>
      </x:c>
    </x:row>
    <x:row r="2" ht="28" customHeight="1">
      <x:c r="A2" s="7" t="str">
        <x:v>Caso de cálculo: 1.600 kg. La masa real del donor es el primer gate de compra.</x:v>
      </x:c>
    </x:row>
    <x:row r="3" ht="28" customHeight="1">
      <x:c r="A3" s="12" t="str">
        <x:v>Subsistema</x:v>
      </x:c>
      <x:c r="B3" s="12" t="str">
        <x:v>Masa kg</x:v>
      </x:c>
      <x:c r="C3" s="12" t="str">
        <x:v>Altura CG m</x:v>
      </x:c>
      <x:c r="D3" s="12" t="str">
        <x:v>Momento kg·m</x:v>
      </x:c>
    </x:row>
    <x:row r="4">
      <x:c r="A4" s="21" t="str">
        <x:v>Rolling chassis 4WD</x:v>
      </x:c>
      <x:c r="B4" s="36" t="n">
        <x:v>550</x:v>
      </x:c>
      <x:c r="C4" s="79" t="n">
        <x:v>0.42</x:v>
      </x:c>
      <x:c r="D4" s="26" t="n">
        <x:f>B4*C4</x:f>
        <x:v>231</x:v>
      </x:c>
    </x:row>
    <x:row r="5">
      <x:c r="A5" s="21" t="str">
        <x:v>Batería LFP 15 kWh</x:v>
      </x:c>
      <x:c r="B5" s="36" t="n">
        <x:v>135</x:v>
      </x:c>
      <x:c r="C5" s="79" t="n">
        <x:v>0.25</x:v>
      </x:c>
      <x:c r="D5" s="26" t="n">
        <x:f>B5*C5</x:f>
        <x:v>33.75</x:v>
      </x:c>
    </x:row>
    <x:row r="6">
      <x:c r="A6" s="21" t="str">
        <x:v>Piso, estructura, asientos y barandas</x:v>
      </x:c>
      <x:c r="B6" s="36" t="n">
        <x:v>170</x:v>
      </x:c>
      <x:c r="C6" s="79" t="n">
        <x:v>0.65</x:v>
      </x:c>
      <x:c r="D6" s="26" t="n">
        <x:f>B6*C6</x:f>
        <x:v>110.5</x:v>
      </x:c>
    </x:row>
    <x:row r="7">
      <x:c r="A7" s="21" t="str">
        <x:v>Caparazón / piel radical</x:v>
      </x:c>
      <x:c r="B7" s="36" t="n">
        <x:v>85</x:v>
      </x:c>
      <x:c r="C7" s="79" t="n">
        <x:v>1.2</x:v>
      </x:c>
      <x:c r="D7" s="26" t="n">
        <x:f>B7*C7</x:f>
        <x:v>102</x:v>
      </x:c>
    </x:row>
    <x:row r="8">
      <x:c r="A8" s="21" t="str">
        <x:v>PA, sub y amplificación</x:v>
      </x:c>
      <x:c r="B8" s="36" t="n">
        <x:v>105</x:v>
      </x:c>
      <x:c r="C8" s="79" t="n">
        <x:v>0.65</x:v>
      </x:c>
      <x:c r="D8" s="26" t="n">
        <x:f>B8*C8</x:f>
        <x:v>68.25</x:v>
      </x:c>
    </x:row>
    <x:row r="9">
      <x:c r="A9" s="21" t="str">
        <x:v>DJ, inversor, rack y cableado</x:v>
      </x:c>
      <x:c r="B9" s="36" t="n">
        <x:v>55</x:v>
      </x:c>
      <x:c r="C9" s="79" t="n">
        <x:v>0.55</x:v>
      </x:c>
      <x:c r="D9" s="26" t="n">
        <x:f>B9*C9</x:f>
        <x:v>30.250000000000004</x:v>
      </x:c>
    </x:row>
    <x:row r="10">
      <x:c r="A10" s="21" t="str">
        <x:v>Luces y seguridad</x:v>
      </x:c>
      <x:c r="B10" s="36" t="n">
        <x:v>35</x:v>
      </x:c>
      <x:c r="C10" s="79" t="n">
        <x:v>0.8</x:v>
      </x:c>
      <x:c r="D10" s="26" t="n">
        <x:f>B10*C10</x:f>
        <x:v>28</x:v>
      </x:c>
    </x:row>
    <x:row r="11">
      <x:c r="A11" s="62" t="str">
        <x:v>Tara proyectada</x:v>
      </x:c>
      <x:c r="B11" s="87" t="n">
        <x:f>SUM(B4:B10)</x:f>
        <x:v>1135</x:v>
      </x:c>
      <x:c r="C11" s="88" t="n">
        <x:f>D11/B11</x:f>
        <x:v>0.5319383259911894</x:v>
      </x:c>
      <x:c r="D11" s="89" t="n">
        <x:f>SUM(D4:D10)</x:f>
        <x:v>603.75</x:v>
      </x:c>
    </x:row>
    <x:row r="12">
      <x:c r="A12" s="62" t="str">
        <x:v>Carga útil</x:v>
      </x:c>
      <x:c r="B12" s="87" t="n">
        <x:v>500</x:v>
      </x:c>
      <x:c r="C12" s="88" t="n">
        <x:v>0.85</x:v>
      </x:c>
      <x:c r="D12" s="89" t="n">
        <x:f>B12*C12</x:f>
        <x:v>425</x:v>
      </x:c>
    </x:row>
    <x:row r="13">
      <x:c r="A13" s="62" t="str">
        <x:v>Masa operativa</x:v>
      </x:c>
      <x:c r="B13" s="87" t="n">
        <x:f>B11+B12</x:f>
        <x:v>1635</x:v>
      </x:c>
      <x:c r="C13" s="88" t="n">
        <x:f>D13/B13</x:f>
        <x:v>0.6292048929663608</x:v>
      </x:c>
      <x:c r="D13" s="89" t="n">
        <x:f>D11+D12</x:f>
        <x:v>1028.75</x:v>
      </x:c>
    </x:row>
    <x:row r="14">
      <x:c r="A14" s="65" t="str">
        <x:v>Margen hasta GVWR 1.700 kg</x:v>
      </x:c>
      <x:c r="B14" s="90" t="n">
        <x:f>'Supuestos'!B5-B13</x:f>
        <x:v>65</x:v>
      </x:c>
      <x:c r="C14" s="91"/>
      <x:c r="D14" s="92"/>
    </x:row>
    <x:row r="17" ht="28" customHeight="1">
      <x:c r="A17" s="12" t="str">
        <x:v>Escenario</x:v>
      </x:c>
      <x:c r="B17" s="12" t="str">
        <x:v>Crr</x:v>
      </x:c>
      <x:c r="C17" s="12" t="str">
        <x:v>Pendiente</x:v>
      </x:c>
      <x:c r="D17" s="12" t="str">
        <x:v>Fuerza N</x:v>
      </x:c>
      <x:c r="E17" s="12" t="str">
        <x:v>P tracción @5 km/h kW</x:v>
      </x:c>
      <x:c r="F17" s="12" t="str">
        <x:v>Aux kWh</x:v>
      </x:c>
      <x:c r="G17" s="12" t="str">
        <x:v>Misión total kWh</x:v>
      </x:c>
      <x:c r="H17" s="12" t="str">
        <x:v>Margen vs usable</x:v>
      </x:c>
    </x:row>
    <x:row r="18">
      <x:c r="A18" s="21" t="str">
        <x:v>Pasto firme</x:v>
      </x:c>
      <x:c r="B18" s="71" t="n">
        <x:v>0.04</x:v>
      </x:c>
      <x:c r="C18" s="71" t="n">
        <x:v>0</x:v>
      </x:c>
      <x:c r="D18" s="36" t="n">
        <x:f>$B$13*9.81*(B18+C18)</x:f>
        <x:v>641.5740000000001</x:v>
      </x:c>
      <x:c r="E18" s="79" t="n">
        <x:f>D18*(5/3.6)/0.75/1000</x:f>
        <x:v>1.1881000000000002</x:v>
      </x:c>
      <x:c r="F18" s="79" t="n">
        <x:f>'Supuestos'!B14+'Supuestos'!B15</x:f>
        <x:v>1.45</x:v>
      </x:c>
      <x:c r="G18" s="79" t="n">
        <x:f>E18*('Supuestos'!B8/'Supuestos'!B9)+F18*('Supuestos'!B8/'Supuestos'!B9)</x:f>
        <x:v>2.6381</x:v>
      </x:c>
      <x:c r="H18" s="93" t="n">
        <x:f>('Supuestos'!B11*(1-'Supuestos'!B12)*(1-'Supuestos'!B13))-G18</x:f>
        <x:v>7.5619</x:v>
      </x:c>
    </x:row>
    <x:row r="19">
      <x:c r="A19" s="21" t="str">
        <x:v>Pasto húmedo</x:v>
      </x:c>
      <x:c r="B19" s="71" t="n">
        <x:v>0.08</x:v>
      </x:c>
      <x:c r="C19" s="71" t="n">
        <x:v>0</x:v>
      </x:c>
      <x:c r="D19" s="36" t="n">
        <x:f>$B$13*9.81*(B19+C19)</x:f>
        <x:v>1283.1480000000001</x:v>
      </x:c>
      <x:c r="E19" s="79" t="n">
        <x:f>D19*(5/3.6)/0.75/1000</x:f>
        <x:v>2.3762000000000003</x:v>
      </x:c>
      <x:c r="F19" s="79" t="n">
        <x:f>'Supuestos'!B14+'Supuestos'!B15</x:f>
        <x:v>1.45</x:v>
      </x:c>
      <x:c r="G19" s="79" t="n">
        <x:f>E19*('Supuestos'!B8/'Supuestos'!B9)+F19*('Supuestos'!B8/'Supuestos'!B9)</x:f>
        <x:v>3.8262</x:v>
      </x:c>
      <x:c r="H19" s="93" t="n">
        <x:f>('Supuestos'!B11*(1-'Supuestos'!B12)*(1-'Supuestos'!B13))-G19</x:f>
        <x:v>6.373799999999999</x:v>
      </x:c>
    </x:row>
    <x:row r="20">
      <x:c r="A20" s="21" t="str">
        <x:v>Húmedo + 10%</x:v>
      </x:c>
      <x:c r="B20" s="71" t="n">
        <x:v>0.08</x:v>
      </x:c>
      <x:c r="C20" s="71" t="n">
        <x:v>0.1</x:v>
      </x:c>
      <x:c r="D20" s="36" t="n">
        <x:f>$B$13*9.81*(B20+C20)</x:f>
        <x:v>2887.083</x:v>
      </x:c>
      <x:c r="E20" s="79" t="n">
        <x:f>D20*(5/3.6)/0.75/1000</x:f>
        <x:v>5.34645</x:v>
      </x:c>
      <x:c r="F20" s="79" t="n">
        <x:f>'Supuestos'!B14+'Supuestos'!B15</x:f>
        <x:v>1.45</x:v>
      </x:c>
      <x:c r="G20" s="79" t="n">
        <x:f>E20*('Supuestos'!B8/'Supuestos'!B9)+F20*('Supuestos'!B8/'Supuestos'!B9)</x:f>
        <x:v>6.79645</x:v>
      </x:c>
      <x:c r="H20" s="93" t="n">
        <x:f>('Supuestos'!B11*(1-'Supuestos'!B12)*(1-'Supuestos'!B13))-G20</x:f>
        <x:v>3.403549999999999</x:v>
      </x:c>
    </x:row>
    <x:row r="21">
      <x:c r="A21" s="21" t="str">
        <x:v>Húmedo + 15%</x:v>
      </x:c>
      <x:c r="B21" s="71" t="n">
        <x:v>0.08</x:v>
      </x:c>
      <x:c r="C21" s="71" t="n">
        <x:v>0.15</x:v>
      </x:c>
      <x:c r="D21" s="36" t="n">
        <x:f>$B$13*9.81*(B21+C21)</x:f>
        <x:v>3689.0505</x:v>
      </x:c>
      <x:c r="E21" s="79" t="n">
        <x:f>D21*(5/3.6)/0.75/1000</x:f>
        <x:v>6.831575</x:v>
      </x:c>
      <x:c r="F21" s="79" t="n">
        <x:f>'Supuestos'!B14+'Supuestos'!B15</x:f>
        <x:v>1.45</x:v>
      </x:c>
      <x:c r="G21" s="79" t="n">
        <x:f>E21*('Supuestos'!B8/'Supuestos'!B9)+F21*('Supuestos'!B8/'Supuestos'!B9)</x:f>
        <x:v>8.281575</x:v>
      </x:c>
      <x:c r="H21" s="93" t="n">
        <x:f>('Supuestos'!B11*(1-'Supuestos'!B12)*(1-'Supuestos'!B13))-G21</x:f>
        <x:v>1.9184249999999992</x:v>
      </x:c>
    </x:row>
    <x:row r="22">
      <x:c r="A22" s="23" t="str">
        <x:v>Barro + 10%</x:v>
      </x:c>
      <x:c r="B22" s="72" t="n">
        <x:v>0.15</x:v>
      </x:c>
      <x:c r="C22" s="72" t="n">
        <x:v>0.1</x:v>
      </x:c>
      <x:c r="D22" s="37" t="n">
        <x:f>$B$13*9.81*(B22+C22)</x:f>
        <x:v>4009.8375</x:v>
      </x:c>
      <x:c r="E22" s="80" t="n">
        <x:f>D22*(5/3.6)/0.75/1000</x:f>
        <x:v>7.425625</x:v>
      </x:c>
      <x:c r="F22" s="80" t="n">
        <x:f>'Supuestos'!B14+'Supuestos'!B15</x:f>
        <x:v>1.45</x:v>
      </x:c>
      <x:c r="G22" s="80" t="n">
        <x:f>E22*('Supuestos'!B8/'Supuestos'!B9)+F22*('Supuestos'!B8/'Supuestos'!B9)</x:f>
        <x:v>8.875625</x:v>
      </x:c>
      <x:c r="H22" s="94" t="n">
        <x:f>('Supuestos'!B11*(1-'Supuestos'!B12)*(1-'Supuestos'!B13))-G22</x:f>
        <x:v>1.3243749999999999</x:v>
      </x:c>
    </x:row>
    <x:row r="24">
      <x:c r="A24" s="21" t="str">
        <x:v>Energía usable conservadora</x:v>
      </x:c>
      <x:c r="B24" s="95" t="n">
        <x:f>'Supuestos'!B11*(1-'Supuestos'!B12)*(1-'Supuestos'!B13)</x:f>
        <x:v>10.2</x:v>
      </x:c>
    </x:row>
    <x:row r="25">
      <x:c r="A25" s="21" t="str">
        <x:v>Criterio</x:v>
      </x:c>
      <x:c r="B25" s="22" t="str">
        <x:v>Final ≥20% SOC</x:v>
      </x:c>
    </x:row>
    <x:row r="26">
      <x:c r="A26" s="23" t="str">
        <x:v>Conclusión</x:v>
      </x:c>
      <x:c r="B26" s="24" t="str">
        <x:v>15 kWh cubre barro + 10% con margen; 12,8 kWh no lo garantiza con PA completo.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3" hidden="0" customWidth="1"/>
    <x:col min="9" max="9" width="24" hidden="0" customWidth="1"/>
  </x:cols>
  <x:sheetData>
    <x:row r="1" ht="34" customHeight="1">
      <x:c r="A1" s="3" t="str">
        <x:v>MATRIZ DE CONCEPTOS</x:v>
      </x:c>
    </x:row>
    <x:row r="2" ht="28" customHeight="1">
      <x:c r="A2" s="7" t="str">
        <x:v>El nuevo requisito de DJ y mutación radical casi empata Tatú y Chakana; gana Tatú por lectura no vehicular.</x:v>
      </x:c>
    </x:row>
    <x:row r="4" ht="28" customHeight="1">
      <x:c r="A4" s="12" t="str">
        <x:v>Concepto</x:v>
      </x:c>
      <x:c r="B4" s="12" t="str">
        <x:v>Mutación 25%</x:v>
      </x:c>
      <x:c r="C4" s="12" t="str">
        <x:v>Seguridad 20%</x:v>
      </x:c>
      <x:c r="D4" s="12" t="str">
        <x:v>DJ/audio 20%</x:v>
      </x:c>
      <x:c r="E4" s="12" t="str">
        <x:v>Masa/fab. 15%</x:v>
      </x:c>
      <x:c r="F4" s="12" t="str">
        <x:v>Interacción 10%</x:v>
      </x:c>
      <x:c r="G4" s="12" t="str">
        <x:v>Mant. 10%</x:v>
      </x:c>
      <x:c r="H4" s="12" t="str">
        <x:v>Total</x:v>
      </x:c>
      <x:c r="I4" s="12" t="str">
        <x:v>Decisión</x:v>
      </x:c>
    </x:row>
    <x:row r="5">
      <x:c r="A5" s="38" t="str">
        <x:v>Tatú Sonoro</x:v>
      </x:c>
      <x:c r="B5" s="96" t="n">
        <x:v>5</x:v>
      </x:c>
      <x:c r="C5" s="96" t="n">
        <x:v>4.5</x:v>
      </x:c>
      <x:c r="D5" s="96" t="n">
        <x:v>4.5</x:v>
      </x:c>
      <x:c r="E5" s="96" t="n">
        <x:v>4</x:v>
      </x:c>
      <x:c r="F5" s="96" t="n">
        <x:v>5</x:v>
      </x:c>
      <x:c r="G5" s="96" t="n">
        <x:v>4</x:v>
      </x:c>
      <x:c r="H5" s="96" t="n">
        <x:f>B5*25%+C5*20%+D5*20%+E5*15%+F5*10%+G5*10%</x:f>
        <x:v>4.550000000000001</x:v>
      </x:c>
      <x:c r="I5" s="53" t="str">
        <x:v>RECOMENDADO</x:v>
      </x:c>
    </x:row>
    <x:row r="6">
      <x:c r="A6" s="21" t="str">
        <x:v>Chakana Resonante</x:v>
      </x:c>
      <x:c r="B6" s="79" t="n">
        <x:v>4.5</x:v>
      </x:c>
      <x:c r="C6" s="79" t="n">
        <x:v>4</x:v>
      </x:c>
      <x:c r="D6" s="79" t="n">
        <x:v>5</x:v>
      </x:c>
      <x:c r="E6" s="79" t="n">
        <x:v>4.5</x:v>
      </x:c>
      <x:c r="F6" s="79" t="n">
        <x:v>4.5</x:v>
      </x:c>
      <x:c r="G6" s="79" t="n">
        <x:v>5</x:v>
      </x:c>
      <x:c r="H6" s="79" t="n">
        <x:f>B6*25%+C6*20%+D6*20%+E6*15%+F6*10%+G6*10%</x:f>
        <x:v>4.55</x:v>
      </x:c>
      <x:c r="I6" s="22" t="str">
        <x:v>ALTERNATIVA LIVIANA</x:v>
      </x:c>
    </x:row>
    <x:row r="7">
      <x:c r="A7" s="23" t="str">
        <x:v>Coatí Nocturno</x:v>
      </x:c>
      <x:c r="B7" s="80" t="n">
        <x:v>4.5</x:v>
      </x:c>
      <x:c r="C7" s="80" t="n">
        <x:v>4</x:v>
      </x:c>
      <x:c r="D7" s="80" t="n">
        <x:v>4.5</x:v>
      </x:c>
      <x:c r="E7" s="80" t="n">
        <x:v>3.5</x:v>
      </x:c>
      <x:c r="F7" s="80" t="n">
        <x:v>4.5</x:v>
      </x:c>
      <x:c r="G7" s="80" t="n">
        <x:v>3.5</x:v>
      </x:c>
      <x:c r="H7" s="80" t="n">
        <x:f>B7*25%+C7*20%+D7*20%+E7*15%+F7*10%+G7*10%</x:f>
        <x:v>4.15</x:v>
      </x:c>
      <x:c r="I7" s="24" t="str">
        <x:v>RESERVA ESTÉTICA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7e61b3e385b14cbe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44" hidden="0" customWidth="1"/>
    <x:col min="8" max="8" width="18" hidden="0" customWidth="1"/>
    <x:col min="9" max="9" width="18" hidden="0" customWidth="1"/>
  </x:cols>
  <x:sheetData>
    <x:row r="1" ht="34" customHeight="1">
      <x:c r="A1" s="3" t="str">
        <x:v>FMEA DE PREFACTIBILIDAD</x:v>
      </x:c>
    </x:row>
    <x:row r="2" ht="28" customHeight="1">
      <x:c r="A2" s="7" t="str">
        <x:v>S/O/D: 1–10. RPN ≥150 exige acción antes de pruebas con personas.</x:v>
      </x:c>
    </x:row>
    <x:row r="3" ht="28" customHeight="1">
      <x:c r="A3" s="12" t="str">
        <x:v>Riesgo</x:v>
      </x:c>
      <x:c r="B3" s="12" t="str">
        <x:v>Efecto</x:v>
      </x:c>
      <x:c r="C3" s="12" t="str">
        <x:v>S</x:v>
      </x:c>
      <x:c r="D3" s="12" t="str">
        <x:v>O</x:v>
      </x:c>
      <x:c r="E3" s="12" t="str">
        <x:v>D</x:v>
      </x:c>
      <x:c r="F3" s="12" t="str">
        <x:v>RPN</x:v>
      </x:c>
      <x:c r="G3" s="12" t="str">
        <x:v>Control principal</x:v>
      </x:c>
      <x:c r="H3" s="12" t="str">
        <x:v>Responsable</x:v>
      </x:c>
      <x:c r="I3" s="12" t="str">
        <x:v>Gate</x:v>
      </x:c>
    </x:row>
    <x:row r="4">
      <x:c r="A4" s="21" t="str">
        <x:v>GVWR o masa de donor indefinida</x:v>
      </x:c>
      <x:c r="B4" s="21" t="str">
        <x:v>Sobrecarga/falla</x:v>
      </x:c>
      <x:c r="C4" s="36" t="n">
        <x:v>10</x:v>
      </x:c>
      <x:c r="D4" s="36" t="n">
        <x:v>5</x:v>
      </x:c>
      <x:c r="E4" s="36" t="n">
        <x:v>7</x:v>
      </x:c>
      <x:c r="F4" s="36" t="n">
        <x:f>C4*D4*E4</x:f>
        <x:v>350</x:v>
      </x:c>
      <x:c r="G4" s="21" t="str">
        <x:v>Pesaje + certificado + cálculo</x:v>
      </x:c>
      <x:c r="H4" s="21" t="str">
        <x:v>Líder mecánico</x:v>
      </x:c>
      <x:c r="I4" s="22" t="str">
        <x:v>Pre-PO</x:v>
      </x:c>
    </x:row>
    <x:row r="5">
      <x:c r="A5" s="21" t="str">
        <x:v>Freno insuficiente</x:v>
      </x:c>
      <x:c r="B5" s="21" t="str">
        <x:v>Atropello/pérdida control</x:v>
      </x:c>
      <x:c r="C5" s="36" t="n">
        <x:v>10</x:v>
      </x:c>
      <x:c r="D5" s="36" t="n">
        <x:v>4</x:v>
      </x:c>
      <x:c r="E5" s="36" t="n">
        <x:v>5</x:v>
      </x:c>
      <x:c r="F5" s="36" t="n">
        <x:f>C5*D5*E5</x:f>
        <x:v>200</x:v>
      </x:c>
      <x:c r="G5" s="21" t="str">
        <x:v>4 discos + parking mecánico + ensayo</x:v>
      </x:c>
      <x:c r="H5" s="21" t="str">
        <x:v>Frenos</x:v>
      </x:c>
      <x:c r="I5" s="22" t="str">
        <x:v>Pre-personas</x:v>
      </x:c>
    </x:row>
    <x:row r="6">
      <x:c r="A6" s="21" t="str">
        <x:v>Rueda atrapada por arte/barro</x:v>
      </x:c>
      <x:c r="B6" s="21" t="str">
        <x:v>Bloqueo o proyección</x:v>
      </x:c>
      <x:c r="C6" s="36" t="n">
        <x:v>9</x:v>
      </x:c>
      <x:c r="D6" s="36" t="n">
        <x:v>5</x:v>
      </x:c>
      <x:c r="E6" s="36" t="n">
        <x:v>5</x:v>
      </x:c>
      <x:c r="F6" s="36" t="n">
        <x:f>C6*D6*E6</x:f>
        <x:v>225</x:v>
      </x:c>
      <x:c r="G6" s="21" t="str">
        <x:v>Holgura 80 mm + registro + full bump</x:v>
      </x:c>
      <x:c r="H6" s="21" t="str">
        <x:v>Diseño</x:v>
      </x:c>
      <x:c r="I6" s="22" t="str">
        <x:v>Pre-dinámico</x:v>
      </x:c>
    </x:row>
    <x:row r="7">
      <x:c r="A7" s="21" t="str">
        <x:v>Audio agota energía de seguridad</x:v>
      </x:c>
      <x:c r="B7" s="21" t="str">
        <x:v>Pérdida de luces/control</x:v>
      </x:c>
      <x:c r="C7" s="36" t="n">
        <x:v>9</x:v>
      </x:c>
      <x:c r="D7" s="36" t="n">
        <x:v>4</x:v>
      </x:c>
      <x:c r="E7" s="36" t="n">
        <x:v>4</x:v>
      </x:c>
      <x:c r="F7" s="36" t="n">
        <x:f>C7*D7*E7</x:f>
        <x:v>144</x:v>
      </x:c>
      <x:c r="G7" s="21" t="str">
        <x:v>Rama separada + deslastre 25% SOC</x:v>
      </x:c>
      <x:c r="H7" s="21" t="str">
        <x:v>Eléctrico</x:v>
      </x:c>
      <x:c r="I7" s="22" t="str">
        <x:v>FAT</x:v>
      </x:c>
    </x:row>
    <x:row r="8">
      <x:c r="A8" s="21" t="str">
        <x:v>230 V accesible o mojado</x:v>
      </x:c>
      <x:c r="B8" s="21" t="str">
        <x:v>Choque/incendio</x:v>
      </x:c>
      <x:c r="C8" s="36" t="n">
        <x:v>10</x:v>
      </x:c>
      <x:c r="D8" s="36" t="n">
        <x:v>3</x:v>
      </x:c>
      <x:c r="E8" s="36" t="n">
        <x:v>5</x:v>
      </x:c>
      <x:c r="F8" s="36" t="n">
        <x:f>C8*D8*E8</x:f>
        <x:v>150</x:v>
      </x:c>
      <x:c r="G8" s="21" t="str">
        <x:v>Rack IP54, RCD 30 mA, pasivos</x:v>
      </x:c>
      <x:c r="H8" s="21" t="str">
        <x:v>Electricista</x:v>
      </x:c>
      <x:c r="I8" s="22" t="str">
        <x:v>FAT</x:v>
      </x:c>
    </x:row>
    <x:row r="9">
      <x:c r="A9" s="21" t="str">
        <x:v>Parlante/panel se desprende</x:v>
      </x:c>
      <x:c r="B9" s="21" t="str">
        <x:v>Impacto a ocupante</x:v>
      </x:c>
      <x:c r="C9" s="36" t="n">
        <x:v>9</x:v>
      </x:c>
      <x:c r="D9" s="36" t="n">
        <x:v>4</x:v>
      </x:c>
      <x:c r="E9" s="36" t="n">
        <x:v>5</x:v>
      </x:c>
      <x:c r="F9" s="36" t="n">
        <x:f>C9*D9*E9</x:f>
        <x:v>180</x:v>
      </x:c>
      <x:c r="G9" s="21" t="str">
        <x:v>Anclaje 5g + tether + testigo</x:v>
      </x:c>
      <x:c r="H9" s="21" t="str">
        <x:v>Rigging</x:v>
      </x:c>
      <x:c r="I9" s="22" t="str">
        <x:v>Diario</x:v>
      </x:c>
    </x:row>
    <x:row r="10">
      <x:c r="A10" s="21" t="str">
        <x:v>DJ de pie en movimiento</x:v>
      </x:c>
      <x:c r="B10" s="21" t="str">
        <x:v>Caída/eyección</x:v>
      </x:c>
      <x:c r="C10" s="36" t="n">
        <x:v>9</x:v>
      </x:c>
      <x:c r="D10" s="36" t="n">
        <x:v>5</x:v>
      </x:c>
      <x:c r="E10" s="36" t="n">
        <x:v>2</x:v>
      </x:c>
      <x:c r="F10" s="36" t="n">
        <x:f>C10*D10*E10</x:f>
        <x:v>90</x:v>
      </x:c>
      <x:c r="G10" s="21" t="str">
        <x:v>Percha + cinturón; interlock de modo</x:v>
      </x:c>
      <x:c r="H10" s="21" t="str">
        <x:v>Operación</x:v>
      </x:c>
      <x:c r="I10" s="22" t="str">
        <x:v>Siempre</x:v>
      </x:c>
    </x:row>
    <x:row r="11">
      <x:c r="A11" s="21" t="str">
        <x:v>Audio enmascara avisos</x:v>
      </x:c>
      <x:c r="B11" s="21" t="str">
        <x:v>Respuesta tardía</x:v>
      </x:c>
      <x:c r="C11" s="36" t="n">
        <x:v>8</x:v>
      </x:c>
      <x:c r="D11" s="36" t="n">
        <x:v>5</x:v>
      </x:c>
      <x:c r="E11" s="36" t="n">
        <x:v>4</x:v>
      </x:c>
      <x:c r="F11" s="36" t="n">
        <x:f>C11*D11*E11</x:f>
        <x:v>160</x:v>
      </x:c>
      <x:c r="G11" s="21" t="str">
        <x:v>Mute conductor + radio/bocina prioritaria</x:v>
      </x:c>
      <x:c r="H11" s="21" t="str">
        <x:v>Sonido</x:v>
      </x:c>
      <x:c r="I11" s="22" t="str">
        <x:v>SAT</x:v>
      </x:c>
    </x:row>
    <x:row r="12">
      <x:c r="A12" s="21" t="str">
        <x:v>Punto ciego por mutación</x:v>
      </x:c>
      <x:c r="B12" s="21" t="str">
        <x:v>Colisión peatón</x:v>
      </x:c>
      <x:c r="C12" s="36" t="n">
        <x:v>10</x:v>
      </x:c>
      <x:c r="D12" s="36" t="n">
        <x:v>5</x:v>
      </x:c>
      <x:c r="E12" s="36" t="n">
        <x:v>4</x:v>
      </x:c>
      <x:c r="F12" s="36" t="n">
        <x:f>C12*D12*E12</x:f>
        <x:v>200</x:v>
      </x:c>
      <x:c r="G12" s="21" t="str">
        <x:v>Visión directa + cámaras + spotters</x:v>
      </x:c>
      <x:c r="H12" s="21" t="str">
        <x:v>Piloto</x:v>
      </x:c>
      <x:c r="I12" s="22" t="str">
        <x:v>Siempre</x:v>
      </x:c>
    </x:row>
    <x:row r="13">
      <x:c r="A13" s="21" t="str">
        <x:v>Batería sin UN38.3</x:v>
      </x:c>
      <x:c r="B13" s="21" t="str">
        <x:v>Retención/no embarque</x:v>
      </x:c>
      <x:c r="C13" s="36" t="n">
        <x:v>8</x:v>
      </x:c>
      <x:c r="D13" s="36" t="n">
        <x:v>4</x:v>
      </x:c>
      <x:c r="E13" s="36" t="n">
        <x:v>6</x:v>
      </x:c>
      <x:c r="F13" s="36" t="n">
        <x:f>C13*D13*E13</x:f>
        <x:v>192</x:v>
      </x:c>
      <x:c r="G13" s="21" t="str">
        <x:v>Test summary antes de saldo</x:v>
      </x:c>
      <x:c r="H13" s="21" t="str">
        <x:v>Compras</x:v>
      </x:c>
      <x:c r="I13" s="22" t="str">
        <x:v>Pre-embarque</x:v>
      </x:c>
    </x:row>
    <x:row r="14">
      <x:c r="A14" s="21" t="str">
        <x:v>Vuelco lateral</x:v>
      </x:c>
      <x:c r="B14" s="21" t="str">
        <x:v>Lesión grave</x:v>
      </x:c>
      <x:c r="C14" s="36" t="n">
        <x:v>10</x:v>
      </x:c>
      <x:c r="D14" s="36" t="n">
        <x:v>3</x:v>
      </x:c>
      <x:c r="E14" s="36" t="n">
        <x:v>6</x:v>
      </x:c>
      <x:c r="F14" s="36" t="n">
        <x:f>C14*D14*E14</x:f>
        <x:v>180</x:v>
      </x:c>
      <x:c r="G14" s="21" t="str">
        <x:v>CG≤0,75; límite 8°; prueba tethered</x:v>
      </x:c>
      <x:c r="H14" s="21" t="str">
        <x:v>Ensayos</x:v>
      </x:c>
      <x:c r="I14" s="22" t="str">
        <x:v>Pre-personas</x:v>
      </x:c>
    </x:row>
    <x:row r="15">
      <x:c r="A15" s="23" t="str">
        <x:v>Sonido fuera de política</x:v>
      </x:c>
      <x:c r="B15" s="23" t="str">
        <x:v>Revocación licencia</x:v>
      </x:c>
      <x:c r="C15" s="37" t="n">
        <x:v>7</x:v>
      </x:c>
      <x:c r="D15" s="37" t="n">
        <x:v>5</x:v>
      </x:c>
      <x:c r="E15" s="37" t="n">
        <x:v>4</x:v>
      </x:c>
      <x:c r="F15" s="37" t="n">
        <x:f>C15*D15*E15</x:f>
        <x:v>140</x:v>
      </x:c>
      <x:c r="G15" s="23" t="str">
        <x:v>DSP bloqueado + SPL log + responsable</x:v>
      </x:c>
      <x:c r="H15" s="23" t="str">
        <x:v>Sound Officer</x:v>
      </x:c>
      <x:c r="I15" s="24" t="str">
        <x:v>Evento</x:v>
      </x:c>
    </x:row>
  </x:sheetData>
  <x:mergeCells>
    <x:mergeCell ref="A1:I1"/>
    <x:mergeCell ref="A2:I2"/>
  </x:mergeCells>
  <x:conditionalFormatting sqref="F4:F15">
    <x:cfRule type="cellIs" dxfId="0" priority="1" operator="greaterThanOrEqual">
      <x:formula>150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72" hidden="0" customWidth="1"/>
    <x:col min="4" max="4" width="44" hidden="0" customWidth="1"/>
  </x:cols>
  <x:sheetData>
    <x:row r="1" ht="34" customHeight="1">
      <x:c r="A1" s="3" t="str">
        <x:v>REGISTRO DE FUENTES</x:v>
      </x:c>
    </x:row>
    <x:row r="2" ht="28" customHeight="1">
      <x:c r="A2" s="7" t="str">
        <x:v>Abrir y verificar fecha/versión antes de compra o inscripción. Los marketplaces son indicativos, no prueba de conformidad.</x:v>
      </x:c>
    </x:row>
    <x:row r="3" ht="28" customHeight="1">
      <x:c r="A3" s="12" t="str">
        <x:v>Tema</x:v>
      </x:c>
      <x:c r="B3" s="12" t="str">
        <x:v>Entidad</x:v>
      </x:c>
      <x:c r="C3" s="12" t="str">
        <x:v>URL</x:v>
      </x:c>
      <x:c r="D3" s="12" t="str">
        <x:v>Uso en el modelo</x:v>
      </x:c>
    </x:row>
    <x:row r="4">
      <x:c r="A4" s="21" t="str">
        <x:v>Mutant Vehicle criteria</x:v>
      </x:c>
      <x:c r="B4" s="21" t="str">
        <x:v>Burning Man</x:v>
      </x:c>
      <x:c r="C4" s="21" t="str">
        <x:v>https://burningman.org/black-rock-city/bring-your-mutant-vehicle/mv-criteria-and-licensing/</x:v>
      </x:c>
      <x:c r="D4" s="22" t="str">
        <x:v>Mutación radical, velocidad, luces, acceso</x:v>
      </x:c>
    </x:row>
    <x:row r="5">
      <x:c r="A5" s="21" t="str">
        <x:v>Owner handbook 2026</x:v>
      </x:c>
      <x:c r="B5" s="21" t="str">
        <x:v>Burning Man</x:v>
      </x:c>
      <x:c r="C5" s="21" t="str">
        <x:v>https://burningman.org/black-rock-city/bring-your-mutant-vehicle/mutant-vehicle-owners-handbook/</x:v>
      </x:c>
      <x:c r="D5" s="22" t="str">
        <x:v>Operación y sonido</x:v>
      </x:c>
    </x:row>
    <x:row r="6">
      <x:c r="A6" s="21" t="str">
        <x:v>Sound policy</x:v>
      </x:c>
      <x:c r="B6" s="21" t="str">
        <x:v>Burning Man</x:v>
      </x:c>
      <x:c r="C6" s="21" t="str">
        <x:v>https://survival.burningman.org/rules-and-regulations/noise-control-and-sound-policy/</x:v>
      </x:c>
      <x:c r="D6" s="22" t="str">
        <x:v>Orientación y horarios</x:v>
      </x:c>
    </x:row>
    <x:row r="7">
      <x:c r="A7" s="21" t="str">
        <x:v>Mutant vehicles</x:v>
      </x:c>
      <x:c r="B7" s="21" t="str">
        <x:v>AfrikaBurn</x:v>
      </x:c>
      <x:c r="C7" s="21" t="str">
        <x:v>https://www.afrikaburn.org/event/participation/mutant-vehicles/</x:v>
      </x:c>
      <x:c r="D7" s="22" t="str">
        <x:v>Registro, 10 km/h y seguridad</x:v>
      </x:c>
    </x:row>
    <x:row r="8">
      <x:c r="A8" s="21" t="str">
        <x:v>Sound policy</x:v>
      </x:c>
      <x:c r="B8" s="21" t="str">
        <x:v>AfrikaBurn</x:v>
      </x:c>
      <x:c r="C8" s="21" t="str">
        <x:v>https://www.afrikaburn.org/afrikaburn-sound-policy/</x:v>
      </x:c>
      <x:c r="D8" s="22" t="str">
        <x:v>95 dB y Sound Officer</x:v>
      </x:c>
    </x:row>
    <x:row r="9">
      <x:c r="A9" s="21" t="str">
        <x:v>Artomobiles</x:v>
      </x:c>
      <x:c r="B9" s="21" t="str">
        <x:v>Nowhere</x:v>
      </x:c>
      <x:c r="C9" s="21" t="str">
        <x:v>https://www.goingnowhere.org/participate/artomobiles/</x:v>
      </x:c>
      <x:c r="D9" s="22" t="str">
        <x:v>10 km/h, spotter, luces y frenos</x:v>
      </x:c>
    </x:row>
    <x:row r="10">
      <x:c r="A10" s="21" t="str">
        <x:v>LCM</x:v>
      </x:c>
      <x:c r="B10" s="21" t="str">
        <x:v>Argentina.gob.ar</x:v>
      </x:c>
      <x:c r="C10" s="21" t="str">
        <x:v>https://www.argentina.gob.ar/obtener-licencia-de-configuracion-de-modelo</x:v>
      </x:c>
      <x:c r="D10" s="22" t="str">
        <x:v>Diferencia predio privado/vía pública</x:v>
      </x:c>
    </x:row>
    <x:row r="11">
      <x:c r="A11" s="21" t="str">
        <x:v>Tasa estadística</x:v>
      </x:c>
      <x:c r="B11" s="21" t="str">
        <x:v>Normativa Argentina</x:v>
      </x:c>
      <x:c r="C11" s="21" t="str">
        <x:v>https://www.argentina.gob.ar/normativa/nacional/norma-407914</x:v>
      </x:c>
      <x:c r="D11" s="22" t="str">
        <x:v>3% hasta fin de 2027</x:v>
      </x:c>
    </x:row>
    <x:row r="12">
      <x:c r="A12" s="21" t="str">
        <x:v>VUCE</x:v>
      </x:c>
      <x:c r="B12" s="21" t="str">
        <x:v>Argentina.gob.ar</x:v>
      </x:c>
      <x:c r="C12" s="21" t="str">
        <x:v>https://www.argentina.gob.ar/node/196822</x:v>
      </x:c>
      <x:c r="D12" s="22" t="str">
        <x:v>Intervenciones de importación</x:v>
      </x:c>
    </x:row>
    <x:row r="13">
      <x:c r="A13" s="21" t="str">
        <x:v>Bandas cambiarias</x:v>
      </x:c>
      <x:c r="B13" s="21" t="str">
        <x:v>BCRA</x:v>
      </x:c>
      <x:c r="C13" s="21" t="str">
        <x:v>https://www.bcra.gob.ar/regimen-de-bandas-cambiarias/</x:v>
      </x:c>
      <x:c r="D13" s="22" t="str">
        <x:v>Referencia FX; no sustituye cotización</x:v>
      </x:c>
    </x:row>
    <x:row r="14">
      <x:c r="A14" s="21" t="str">
        <x:v>UN38.3</x:v>
      </x:c>
      <x:c r="B14" s="21" t="str">
        <x:v>PHMSA</x:v>
      </x:c>
      <x:c r="C14" s="21" t="str">
        <x:v>https://www.phmsa.dot.gov/lithiumbatteries</x:v>
      </x:c>
      <x:c r="D14" s="22" t="str">
        <x:v>Test summary de baterías</x:v>
      </x:c>
    </x:row>
    <x:row r="15">
      <x:c r="A15" s="21" t="str">
        <x:v>Alibaba ruedas</x:v>
      </x:c>
      <x:c r="B15" s="21" t="str">
        <x:v>Huangshan Benma</x:v>
      </x:c>
      <x:c r="C15" s="21" t="str">
        <x:v>https://www.alibaba.com/product-detail/Four-Wheel-Unmanned-Autonomous-Wire-Control_1601605765591.html</x:v>
      </x:c>
      <x:c r="D15" s="22" t="str">
        <x:v>Producto aportado; información insuficiente</x:v>
      </x:c>
    </x:row>
    <x:row r="16">
      <x:c r="A16" s="21" t="str">
        <x:v>Alibaba orugas</x:v>
      </x:c>
      <x:c r="B16" s="21" t="str">
        <x:v>Proveedor Alibaba</x:v>
      </x:c>
      <x:c r="C16" s="21" t="str">
        <x:v>https://www.alibaba.com/product-detail/OEM-Custom-Remote-Controlled-Rubber-Track_1601864041467.html</x:v>
      </x:c>
      <x:c r="D16" s="22" t="str">
        <x:v>Producto aportado; RFQ obligatorio</x:v>
      </x:c>
    </x:row>
    <x:row r="17">
      <x:c r="A17" s="21" t="str">
        <x:v>Alibaba eje</x:v>
      </x:c>
      <x:c r="B17" s="21" t="str">
        <x:v>Proveedor Alibaba</x:v>
      </x:c>
      <x:c r="C17" s="21" t="str">
        <x:v>https://www.alibaba.com/product-detail/100CM-2000W-Shift-Differential-Rear-Axle_1601869479511.html</x:v>
      </x:c>
      <x:c r="D17" s="22" t="str">
        <x:v>2 kW descartado para misión</x:v>
      </x:c>
    </x:row>
    <x:row r="18">
      <x:c r="A18" s="21" t="str">
        <x:v>Ruido recreativo</x:v>
      </x:c>
      <x:c r="B18" s="21" t="str">
        <x:v>OMS</x:v>
      </x:c>
      <x:c r="C18" s="21" t="str">
        <x:v>https://www.who.int/publications/i/item/9789240043114</x:v>
      </x:c>
      <x:c r="D18" s="22" t="str">
        <x:v>100 dB LAeq,15 min como tope de salud</x:v>
      </x:c>
    </x:row>
    <x:row r="19">
      <x:c r="A19" s="23" t="str">
        <x:v>Exposición ocupacional</x:v>
      </x:c>
      <x:c r="B19" s="23" t="str">
        <x:v>NIOSH</x:v>
      </x:c>
      <x:c r="C19" s="23" t="str">
        <x:v>https://www.cdc.gov/niosh/blogs/2016/noise.html</x:v>
      </x:c>
      <x:c r="D19" s="24" t="str">
        <x:v>85 dBA/8 h; regla de 3 dB</x:v>
      </x:c>
    </x:row>
  </x:sheetData>
  <x:mergeCells>
    <x:mergeCell ref="A1:D1"/>
    <x:mergeCell ref="A2:D2"/>
  </x:mergeCells>
  <x:pageMargins left="0.7" right="0.7" top="0.75" bottom="0.75" header="0.3" footer="0.3"/>
</x:worksheet>
</file>